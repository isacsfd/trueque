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ón físic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Instrucciones" sheetId="4" state="visible" r:id="rId4"/>
  </sheets>
  <definedNames>
    <definedName name="_xlnm.Print_Titles" localSheetId="0">'Conciliación física'!$1:$4</definedName>
    <definedName name="_xlnm.Print_Area" localSheetId="0">'Conciliación física'!$A$1:$P$71</definedName>
    <definedName name="_xlnm.Print_Titles" localSheetId="2">'Incidencias'!$1:$4</definedName>
    <definedName name="_xlnm.Print_Area" localSheetId="2">'Incidencias'!$A$1:$I$24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color rgb="0010386F"/>
      <sz val="10"/>
    </font>
    <font>
      <name val="Aptos"/>
      <b val="1"/>
      <color rgb="0010386F"/>
      <sz val="9"/>
    </font>
    <font>
      <name val="Aptos"/>
      <b val="1"/>
      <color rgb="00FFFFFF"/>
      <sz val="10"/>
    </font>
    <font>
      <name val="Aptos"/>
      <color rgb="00172B46"/>
      <sz val="10"/>
    </font>
    <font>
      <name val="Aptos"/>
      <b val="1"/>
      <color rgb="0010386F"/>
      <sz val="11"/>
    </font>
    <font>
      <name val="Aptos"/>
      <b val="1"/>
      <color rgb="0010386F"/>
      <sz val="10"/>
    </font>
    <font>
      <name val="Aptos"/>
      <b val="1"/>
      <color rgb="005D6D81"/>
      <sz val="9"/>
    </font>
    <font>
      <name val="Aptos"/>
      <color rgb="005D6D81"/>
      <sz val="9"/>
    </font>
    <font>
      <name val="Aptos"/>
      <color rgb="005D6D81"/>
      <sz val="8"/>
    </font>
  </fonts>
  <fills count="6">
    <fill>
      <patternFill/>
    </fill>
    <fill>
      <patternFill patternType="gray125"/>
    </fill>
    <fill>
      <patternFill patternType="solid">
        <fgColor rgb="00174A91"/>
      </patternFill>
    </fill>
    <fill>
      <patternFill patternType="solid">
        <fgColor rgb="00EDF3FB"/>
      </patternFill>
    </fill>
    <fill>
      <patternFill patternType="solid">
        <fgColor rgb="00FFD447"/>
      </patternFill>
    </fill>
    <fill>
      <patternFill patternType="solid">
        <fgColor rgb="00FFF9E4"/>
      </patternFill>
    </fill>
  </fills>
  <borders count="2">
    <border>
      <left/>
      <right/>
      <top/>
      <bottom/>
      <diagonal/>
    </border>
    <border>
      <left style="thin">
        <color rgb="00DFE6EF"/>
      </left>
      <right style="thin">
        <color rgb="00DFE6EF"/>
      </right>
      <top style="thin">
        <color rgb="00DFE6EF"/>
      </top>
      <bottom style="thin">
        <color rgb="00DFE6E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2" borderId="1" pivotButton="0" quotePrefix="0" xfId="0"/>
    <xf numFmtId="0" fontId="5" fillId="0" borderId="1" pivotButton="0" quotePrefix="0" xfId="0"/>
    <xf numFmtId="1" fontId="6" fillId="0" borderId="1" applyAlignment="1" pivotButton="0" quotePrefix="0" xfId="0">
      <alignment horizontal="center"/>
    </xf>
    <xf numFmtId="0" fontId="7" fillId="5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2" fillId="3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A93226"/>
      </font>
      <fill>
        <patternFill patternType="solid">
          <fgColor rgb="00FDECEC"/>
        </patternFill>
      </fill>
    </dxf>
    <dxf>
      <font>
        <b val="1"/>
        <color rgb="001E7A45"/>
      </font>
      <fill>
        <patternFill patternType="solid">
          <fgColor rgb="00E8F7EE"/>
        </patternFill>
      </fill>
    </dxf>
    <dxf>
      <font>
        <b val="1"/>
        <color rgb="00B7791F"/>
      </font>
      <fill>
        <patternFill patternType="solid">
          <fgColor rgb="00FFF4D6"/>
        </patternFill>
      </fill>
    </dxf>
    <dxf>
      <font>
        <b val="1"/>
        <color rgb="005D6D81"/>
      </font>
      <fill>
        <patternFill patternType="solid">
          <fgColor rgb="00F7F9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Conciliacion" displayName="TablaConciliacion" ref="A4:P71" headerRowCount="1">
  <autoFilter ref="A4:P71"/>
  <tableColumns count="16">
    <tableColumn id="1" name="Código institucional"/>
    <tableColumn id="2" name="Número fuente"/>
    <tableColumn id="3" name="Título"/>
    <tableColumn id="4" name="Autor"/>
    <tableColumn id="5" name="Editorial"/>
    <tableColumn id="6" name="Número / identificación del ejemplar"/>
    <tableColumn id="7" name="Ubicación registrada"/>
    <tableColumn id="8" name="Presencia física"/>
    <tableColumn id="9" name="Estado físico"/>
    <tableColumn id="10" name="Identificación bibliográfica"/>
    <tableColumn id="11" name="Disponibilidad propuesta"/>
    <tableColumn id="12" name="Discrepancia encontrada"/>
    <tableColumn id="13" name="Acción recomendada"/>
    <tableColumn id="14" name="Responsable de verificación"/>
    <tableColumn id="15" name="Fecha de verificación"/>
    <tableColumn id="16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Incidencias" displayName="TablaIncidencias" ref="A4:I24" headerRowCount="1">
  <autoFilter ref="A4:I24"/>
  <tableColumns count="9">
    <tableColumn id="1" name="Código institucional"/>
    <tableColumn id="2" name="Tipo de incidencia"/>
    <tableColumn id="3" name="Descripción"/>
    <tableColumn id="4" name="Evidencia / referencia"/>
    <tableColumn id="5" name="Responsable"/>
    <tableColumn id="6" name="Fecha"/>
    <tableColumn id="7" name="Estado de resolución"/>
    <tableColumn id="8" name="Resolución aprobada"/>
    <tableColumn id="9" name="Observacion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74A91"/>
    <outlinePr summaryBelow="1" summaryRight="1"/>
    <pageSetUpPr fitToPage="1"/>
  </sheetPr>
  <dimension ref="A1:P7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27" customWidth="1" min="4" max="4"/>
    <col width="23" customWidth="1" min="5" max="5"/>
    <col width="15" customWidth="1" min="6" max="6"/>
    <col width="21" customWidth="1" min="7" max="7"/>
    <col width="15" customWidth="1" min="8" max="8"/>
    <col width="14" customWidth="1" min="9" max="9"/>
    <col width="20" customWidth="1" min="10" max="10"/>
    <col width="20" customWidth="1" min="11" max="11"/>
    <col width="38" customWidth="1" min="12" max="12"/>
    <col width="38" customWidth="1" min="13" max="13"/>
    <col width="22" customWidth="1" min="14" max="14"/>
    <col width="17" customWidth="1" min="15" max="15"/>
    <col width="30" customWidth="1" min="16" max="16"/>
  </cols>
  <sheetData>
    <row r="1" ht="38" customHeight="1">
      <c r="A1" s="1" t="inlineStr">
        <is>
          <t>CONCILIACIÓN FÍSICA DEL INVENTARIO</t>
        </is>
      </c>
    </row>
    <row r="2" ht="24" customHeight="1">
      <c r="A2" s="2" t="inlineStr">
        <is>
          <t>Sede Plaza de la Paz · Inventario institucional · Trueque IUB</t>
        </is>
      </c>
    </row>
    <row r="3" ht="22" customHeight="1">
      <c r="A3" s="3" t="inlineStr">
        <is>
          <t>Documento interno de verificación · No es una autorización de habilitación · No modifica el inventario maestro</t>
        </is>
      </c>
    </row>
    <row r="4" ht="34" customHeight="1">
      <c r="A4" s="4" t="inlineStr">
        <is>
          <t>Código institucional</t>
        </is>
      </c>
      <c r="B4" s="4" t="inlineStr">
        <is>
          <t>Número fuente</t>
        </is>
      </c>
      <c r="C4" s="4" t="inlineStr">
        <is>
          <t>Título</t>
        </is>
      </c>
      <c r="D4" s="4" t="inlineStr">
        <is>
          <t>Autor</t>
        </is>
      </c>
      <c r="E4" s="4" t="inlineStr">
        <is>
          <t>Editorial</t>
        </is>
      </c>
      <c r="F4" s="4" t="inlineStr">
        <is>
          <t>Número / identificación del ejemplar</t>
        </is>
      </c>
      <c r="G4" s="4" t="inlineStr">
        <is>
          <t>Ubicación registrada</t>
        </is>
      </c>
      <c r="H4" s="4" t="inlineStr">
        <is>
          <t>Presencia física</t>
        </is>
      </c>
      <c r="I4" s="4" t="inlineStr">
        <is>
          <t>Estado físico</t>
        </is>
      </c>
      <c r="J4" s="4" t="inlineStr">
        <is>
          <t>Identificación bibliográfica</t>
        </is>
      </c>
      <c r="K4" s="4" t="inlineStr">
        <is>
          <t>Disponibilidad propuesta</t>
        </is>
      </c>
      <c r="L4" s="4" t="inlineStr">
        <is>
          <t>Discrepancia encontrada</t>
        </is>
      </c>
      <c r="M4" s="4" t="inlineStr">
        <is>
          <t>Acción recomendada</t>
        </is>
      </c>
      <c r="N4" s="4" t="inlineStr">
        <is>
          <t>Responsable de verificación</t>
        </is>
      </c>
      <c r="O4" s="4" t="inlineStr">
        <is>
          <t>Fecha de verificación</t>
        </is>
      </c>
      <c r="P4" s="4" t="inlineStr">
        <is>
          <t>Observaciones</t>
        </is>
      </c>
    </row>
    <row r="5" ht="32" customHeight="1">
      <c r="A5" s="5" t="inlineStr">
        <is>
          <t>IUB-PAZ-001</t>
        </is>
      </c>
      <c r="B5" s="5" t="inlineStr">
        <is>
          <t>1</t>
        </is>
      </c>
      <c r="C5" s="6" t="inlineStr">
        <is>
          <t>Habitos Atomicos</t>
        </is>
      </c>
      <c r="D5" s="6" t="inlineStr">
        <is>
          <t>James Clear</t>
        </is>
      </c>
      <c r="E5" s="6" t="inlineStr">
        <is>
          <t>PAIDOS</t>
        </is>
      </c>
      <c r="F5" s="5" t="inlineStr">
        <is>
          <t>1</t>
        </is>
      </c>
      <c r="G5" s="5" t="inlineStr">
        <is>
          <t>PLAZA DE LA PAZ</t>
        </is>
      </c>
      <c r="H5" s="5" t="n"/>
      <c r="I5" s="5" t="n"/>
      <c r="J5" s="5" t="n"/>
      <c r="K5" s="5" t="n"/>
      <c r="L5" s="6" t="n"/>
      <c r="M5" s="6" t="n"/>
      <c r="N5" s="5" t="n"/>
      <c r="O5" s="7" t="n"/>
      <c r="P5" s="6" t="n"/>
    </row>
    <row r="6" ht="32" customHeight="1">
      <c r="A6" s="5" t="inlineStr">
        <is>
          <t>IUB-PAZ-002</t>
        </is>
      </c>
      <c r="B6" s="5" t="inlineStr">
        <is>
          <t>2</t>
        </is>
      </c>
      <c r="C6" s="6" t="inlineStr">
        <is>
          <t>Precuela Antes de Ella</t>
        </is>
      </c>
      <c r="D6" s="6" t="inlineStr">
        <is>
          <t>Flor Salvador</t>
        </is>
      </c>
      <c r="E6" s="6" t="inlineStr">
        <is>
          <t>N/E</t>
        </is>
      </c>
      <c r="F6" s="5" t="inlineStr">
        <is>
          <t>1</t>
        </is>
      </c>
      <c r="G6" s="5" t="inlineStr">
        <is>
          <t>PLAZA DE LA PAZ</t>
        </is>
      </c>
      <c r="H6" s="5" t="n"/>
      <c r="I6" s="5" t="n"/>
      <c r="J6" s="5" t="n"/>
      <c r="K6" s="5" t="n"/>
      <c r="L6" s="6" t="n"/>
      <c r="M6" s="6" t="n"/>
      <c r="N6" s="5" t="n"/>
      <c r="O6" s="7" t="n"/>
      <c r="P6" s="6" t="n"/>
    </row>
    <row r="7" ht="32" customHeight="1">
      <c r="A7" s="5" t="inlineStr">
        <is>
          <t>IUB-PAZ-003</t>
        </is>
      </c>
      <c r="B7" s="5" t="inlineStr">
        <is>
          <t>3</t>
        </is>
      </c>
      <c r="C7" s="6" t="inlineStr">
        <is>
          <t>Magdalena</t>
        </is>
      </c>
      <c r="D7" s="6" t="inlineStr">
        <is>
          <t>Wade Davis</t>
        </is>
      </c>
      <c r="E7" s="6" t="inlineStr">
        <is>
          <t>Vintage Book</t>
        </is>
      </c>
      <c r="F7" s="5" t="inlineStr">
        <is>
          <t>1</t>
        </is>
      </c>
      <c r="G7" s="5" t="inlineStr">
        <is>
          <t>PLAZA DE LA PAZ</t>
        </is>
      </c>
      <c r="H7" s="5" t="n"/>
      <c r="I7" s="5" t="n"/>
      <c r="J7" s="5" t="n"/>
      <c r="K7" s="5" t="n"/>
      <c r="L7" s="6" t="n"/>
      <c r="M7" s="6" t="n"/>
      <c r="N7" s="5" t="n"/>
      <c r="O7" s="7" t="n"/>
      <c r="P7" s="6" t="n"/>
    </row>
    <row r="8" ht="32" customHeight="1">
      <c r="A8" s="5" t="inlineStr">
        <is>
          <t>IUB-PAZ-004</t>
        </is>
      </c>
      <c r="B8" s="5" t="inlineStr">
        <is>
          <t>4</t>
        </is>
      </c>
      <c r="C8" s="6" t="inlineStr">
        <is>
          <t>Despues de el. Secuela</t>
        </is>
      </c>
      <c r="D8" s="6" t="inlineStr">
        <is>
          <t>Flor Salvador</t>
        </is>
      </c>
      <c r="E8" s="6" t="inlineStr">
        <is>
          <t>N/E</t>
        </is>
      </c>
      <c r="F8" s="5" t="inlineStr">
        <is>
          <t>1</t>
        </is>
      </c>
      <c r="G8" s="5" t="inlineStr">
        <is>
          <t>PLAZA DE LA PAZ</t>
        </is>
      </c>
      <c r="H8" s="5" t="n"/>
      <c r="I8" s="5" t="n"/>
      <c r="J8" s="5" t="n"/>
      <c r="K8" s="5" t="n"/>
      <c r="L8" s="6" t="n"/>
      <c r="M8" s="6" t="n"/>
      <c r="N8" s="5" t="n"/>
      <c r="O8" s="7" t="n"/>
      <c r="P8" s="6" t="n"/>
    </row>
    <row r="9" ht="32" customHeight="1">
      <c r="A9" s="5" t="inlineStr">
        <is>
          <t>IUB-PAZ-005</t>
        </is>
      </c>
      <c r="B9" s="5" t="inlineStr">
        <is>
          <t>5</t>
        </is>
      </c>
      <c r="C9" s="6" t="inlineStr">
        <is>
          <t>El Camino de la Felicidad</t>
        </is>
      </c>
      <c r="D9" s="6" t="inlineStr">
        <is>
          <t>Jorge Bucay</t>
        </is>
      </c>
      <c r="E9" s="6" t="inlineStr">
        <is>
          <t>Debolsillo</t>
        </is>
      </c>
      <c r="F9" s="5" t="inlineStr">
        <is>
          <t>1</t>
        </is>
      </c>
      <c r="G9" s="5" t="inlineStr">
        <is>
          <t>PLAZA DE LA PAZ</t>
        </is>
      </c>
      <c r="H9" s="5" t="n"/>
      <c r="I9" s="5" t="n"/>
      <c r="J9" s="5" t="n"/>
      <c r="K9" s="5" t="n"/>
      <c r="L9" s="6" t="n"/>
      <c r="M9" s="6" t="n"/>
      <c r="N9" s="5" t="n"/>
      <c r="O9" s="7" t="n"/>
      <c r="P9" s="6" t="n"/>
    </row>
    <row r="10" ht="32" customHeight="1">
      <c r="A10" s="5" t="inlineStr">
        <is>
          <t>IUB-PAZ-006</t>
        </is>
      </c>
      <c r="B10" s="5" t="inlineStr">
        <is>
          <t>6</t>
        </is>
      </c>
      <c r="C10" s="6" t="inlineStr">
        <is>
          <t>Los Siete Pasos Hacia el Amor</t>
        </is>
      </c>
      <c r="D10" s="6" t="inlineStr">
        <is>
          <t>Dalai Lama</t>
        </is>
      </c>
      <c r="E10" s="6" t="inlineStr">
        <is>
          <t>Debolsillo</t>
        </is>
      </c>
      <c r="F10" s="5" t="inlineStr">
        <is>
          <t>1</t>
        </is>
      </c>
      <c r="G10" s="5" t="inlineStr">
        <is>
          <t>PLAZA DE LA PAZ</t>
        </is>
      </c>
      <c r="H10" s="5" t="n"/>
      <c r="I10" s="5" t="n"/>
      <c r="J10" s="5" t="n"/>
      <c r="K10" s="5" t="n"/>
      <c r="L10" s="6" t="n"/>
      <c r="M10" s="6" t="n"/>
      <c r="N10" s="5" t="n"/>
      <c r="O10" s="7" t="n"/>
      <c r="P10" s="6" t="n"/>
    </row>
    <row r="11" ht="32" customHeight="1">
      <c r="A11" s="5" t="inlineStr">
        <is>
          <t>IUB-PAZ-007</t>
        </is>
      </c>
      <c r="B11" s="5" t="inlineStr">
        <is>
          <t>7</t>
        </is>
      </c>
      <c r="C11" s="6" t="inlineStr">
        <is>
          <t>Conversaciones con Dios</t>
        </is>
      </c>
      <c r="D11" s="6" t="inlineStr">
        <is>
          <t>Neale Donald</t>
        </is>
      </c>
      <c r="E11" s="6" t="inlineStr">
        <is>
          <t>Debolsillo</t>
        </is>
      </c>
      <c r="F11" s="5" t="inlineStr">
        <is>
          <t>1</t>
        </is>
      </c>
      <c r="G11" s="5" t="inlineStr">
        <is>
          <t>PLAZA DE LA PAZ</t>
        </is>
      </c>
      <c r="H11" s="5" t="n"/>
      <c r="I11" s="5" t="n"/>
      <c r="J11" s="5" t="n"/>
      <c r="K11" s="5" t="n"/>
      <c r="L11" s="6" t="n"/>
      <c r="M11" s="6" t="n"/>
      <c r="N11" s="5" t="n"/>
      <c r="O11" s="7" t="n"/>
      <c r="P11" s="6" t="n"/>
    </row>
    <row r="12" ht="32" customHeight="1">
      <c r="A12" s="5" t="inlineStr">
        <is>
          <t>IUB-PAZ-008</t>
        </is>
      </c>
      <c r="B12" s="5" t="inlineStr">
        <is>
          <t>8</t>
        </is>
      </c>
      <c r="C12" s="6" t="inlineStr">
        <is>
          <t>En busca del Equilibrio</t>
        </is>
      </c>
      <c r="D12" s="6" t="inlineStr">
        <is>
          <t>Wayne Dyer</t>
        </is>
      </c>
      <c r="E12" s="6" t="inlineStr">
        <is>
          <t>Debolsillo</t>
        </is>
      </c>
      <c r="F12" s="5" t="inlineStr">
        <is>
          <t>1</t>
        </is>
      </c>
      <c r="G12" s="5" t="inlineStr">
        <is>
          <t>PLAZA DE LA PAZ</t>
        </is>
      </c>
      <c r="H12" s="5" t="n"/>
      <c r="I12" s="5" t="n"/>
      <c r="J12" s="5" t="n"/>
      <c r="K12" s="5" t="n"/>
      <c r="L12" s="6" t="n"/>
      <c r="M12" s="6" t="n"/>
      <c r="N12" s="5" t="n"/>
      <c r="O12" s="7" t="n"/>
      <c r="P12" s="6" t="n"/>
    </row>
    <row r="13" ht="32" customHeight="1">
      <c r="A13" s="5" t="inlineStr">
        <is>
          <t>IUB-PAZ-009</t>
        </is>
      </c>
      <c r="B13" s="5" t="inlineStr">
        <is>
          <t>9</t>
        </is>
      </c>
      <c r="C13" s="6" t="inlineStr">
        <is>
          <t>Bajo la Luna de Mayo</t>
        </is>
      </c>
      <c r="D13" s="6" t="inlineStr">
        <is>
          <t>Gerardo Meneses</t>
        </is>
      </c>
      <c r="E13" s="6" t="inlineStr">
        <is>
          <t>Norma</t>
        </is>
      </c>
      <c r="F13" s="5" t="inlineStr">
        <is>
          <t>1</t>
        </is>
      </c>
      <c r="G13" s="5" t="inlineStr">
        <is>
          <t>PLAZA DE LA PAZ</t>
        </is>
      </c>
      <c r="H13" s="5" t="n"/>
      <c r="I13" s="5" t="n"/>
      <c r="J13" s="5" t="n"/>
      <c r="K13" s="5" t="n"/>
      <c r="L13" s="6" t="n"/>
      <c r="M13" s="6" t="n"/>
      <c r="N13" s="5" t="n"/>
      <c r="O13" s="7" t="n"/>
      <c r="P13" s="6" t="n"/>
    </row>
    <row r="14" ht="32" customHeight="1">
      <c r="A14" s="5" t="inlineStr">
        <is>
          <t>IUB-PAZ-010</t>
        </is>
      </c>
      <c r="B14" s="5" t="inlineStr">
        <is>
          <t>10</t>
        </is>
      </c>
      <c r="C14" s="6" t="inlineStr">
        <is>
          <t>El Quinto Dragon</t>
        </is>
      </c>
      <c r="D14" s="6" t="inlineStr">
        <is>
          <t>Paulina Aguilar Gutierrez</t>
        </is>
      </c>
      <c r="E14" s="6" t="inlineStr">
        <is>
          <t>Norma</t>
        </is>
      </c>
      <c r="F14" s="5" t="inlineStr">
        <is>
          <t>1</t>
        </is>
      </c>
      <c r="G14" s="5" t="inlineStr">
        <is>
          <t>PLAZA DE LA PAZ</t>
        </is>
      </c>
      <c r="H14" s="5" t="n"/>
      <c r="I14" s="5" t="n"/>
      <c r="J14" s="5" t="n"/>
      <c r="K14" s="5" t="n"/>
      <c r="L14" s="6" t="n"/>
      <c r="M14" s="6" t="n"/>
      <c r="N14" s="5" t="n"/>
      <c r="O14" s="7" t="n"/>
      <c r="P14" s="6" t="n"/>
    </row>
    <row r="15" ht="32" customHeight="1">
      <c r="A15" s="5" t="inlineStr">
        <is>
          <t>IUB-PAZ-011</t>
        </is>
      </c>
      <c r="B15" s="5" t="inlineStr">
        <is>
          <t>11</t>
        </is>
      </c>
      <c r="C15" s="6" t="inlineStr">
        <is>
          <t>El Mejor Poema del Mundo 2026</t>
        </is>
      </c>
      <c r="D15" s="6" t="inlineStr">
        <is>
          <t>Celia Corral Cañas</t>
        </is>
      </c>
      <c r="E15" s="6" t="inlineStr">
        <is>
          <t>Ediciones Noel</t>
        </is>
      </c>
      <c r="F15" s="5" t="inlineStr">
        <is>
          <t>1</t>
        </is>
      </c>
      <c r="G15" s="5" t="inlineStr">
        <is>
          <t>PLAZA DE LA PAZ</t>
        </is>
      </c>
      <c r="H15" s="5" t="n"/>
      <c r="I15" s="5" t="n"/>
      <c r="J15" s="5" t="n"/>
      <c r="K15" s="5" t="n"/>
      <c r="L15" s="6" t="n"/>
      <c r="M15" s="6" t="n"/>
      <c r="N15" s="5" t="n"/>
      <c r="O15" s="7" t="n"/>
      <c r="P15" s="6" t="n"/>
    </row>
    <row r="16" ht="32" customHeight="1">
      <c r="A16" s="5" t="inlineStr">
        <is>
          <t>IUB-PAZ-012</t>
        </is>
      </c>
      <c r="B16" s="5" t="inlineStr">
        <is>
          <t>12</t>
        </is>
      </c>
      <c r="C16" s="6" t="inlineStr">
        <is>
          <t>Entre Pecas y Lentejas</t>
        </is>
      </c>
      <c r="D16" s="6" t="inlineStr">
        <is>
          <t>Elena Dreser</t>
        </is>
      </c>
      <c r="E16" s="6" t="inlineStr">
        <is>
          <t>Educar</t>
        </is>
      </c>
      <c r="F16" s="5" t="inlineStr">
        <is>
          <t>1</t>
        </is>
      </c>
      <c r="G16" s="5" t="inlineStr">
        <is>
          <t>PLAZA DE LA PAZ</t>
        </is>
      </c>
      <c r="H16" s="5" t="n"/>
      <c r="I16" s="5" t="n"/>
      <c r="J16" s="5" t="n"/>
      <c r="K16" s="5" t="n"/>
      <c r="L16" s="6" t="n"/>
      <c r="M16" s="6" t="n"/>
      <c r="N16" s="5" t="n"/>
      <c r="O16" s="7" t="n"/>
      <c r="P16" s="6" t="n"/>
    </row>
    <row r="17" ht="32" customHeight="1">
      <c r="A17" s="5" t="inlineStr">
        <is>
          <t>IUB-PAZ-013</t>
        </is>
      </c>
      <c r="B17" s="5" t="inlineStr">
        <is>
          <t>13</t>
        </is>
      </c>
      <c r="C17" s="6" t="inlineStr">
        <is>
          <t>El Alquimista</t>
        </is>
      </c>
      <c r="D17" s="6" t="inlineStr">
        <is>
          <t>Paulo Coelho</t>
        </is>
      </c>
      <c r="E17" s="6" t="inlineStr">
        <is>
          <t>N/E</t>
        </is>
      </c>
      <c r="F17" s="5" t="inlineStr">
        <is>
          <t>1</t>
        </is>
      </c>
      <c r="G17" s="5" t="inlineStr">
        <is>
          <t>PLAZA DE LA PAZ</t>
        </is>
      </c>
      <c r="H17" s="5" t="n"/>
      <c r="I17" s="5" t="n"/>
      <c r="J17" s="5" t="n"/>
      <c r="K17" s="5" t="n"/>
      <c r="L17" s="6" t="n"/>
      <c r="M17" s="6" t="n"/>
      <c r="N17" s="5" t="n"/>
      <c r="O17" s="7" t="n"/>
      <c r="P17" s="6" t="n"/>
    </row>
    <row r="18" ht="32" customHeight="1">
      <c r="A18" s="5" t="inlineStr">
        <is>
          <t>IUB-PAZ-014</t>
        </is>
      </c>
      <c r="B18" s="5" t="inlineStr">
        <is>
          <t>14</t>
        </is>
      </c>
      <c r="C18" s="6" t="inlineStr">
        <is>
          <t>La Odisea</t>
        </is>
      </c>
      <c r="D18" s="6" t="inlineStr">
        <is>
          <t>Homero</t>
        </is>
      </c>
      <c r="E18" s="6" t="inlineStr">
        <is>
          <t>Artemisa</t>
        </is>
      </c>
      <c r="F18" s="5" t="inlineStr">
        <is>
          <t>1</t>
        </is>
      </c>
      <c r="G18" s="5" t="inlineStr">
        <is>
          <t>PLAZA DE LA PAZ</t>
        </is>
      </c>
      <c r="H18" s="5" t="n"/>
      <c r="I18" s="5" t="n"/>
      <c r="J18" s="5" t="n"/>
      <c r="K18" s="5" t="n"/>
      <c r="L18" s="6" t="n"/>
      <c r="M18" s="6" t="n"/>
      <c r="N18" s="5" t="n"/>
      <c r="O18" s="7" t="n"/>
      <c r="P18" s="6" t="n"/>
    </row>
    <row r="19" ht="32" customHeight="1">
      <c r="A19" s="5" t="inlineStr">
        <is>
          <t>IUB-PAZ-015</t>
        </is>
      </c>
      <c r="B19" s="5" t="inlineStr">
        <is>
          <t>15</t>
        </is>
      </c>
      <c r="C19" s="6" t="inlineStr">
        <is>
          <t>Poema de Alio Cio</t>
        </is>
      </c>
      <c r="D19" s="6" t="inlineStr">
        <is>
          <t>Anonimo</t>
        </is>
      </c>
      <c r="E19" s="6" t="inlineStr">
        <is>
          <t>Atenea</t>
        </is>
      </c>
      <c r="F19" s="5" t="inlineStr">
        <is>
          <t>1</t>
        </is>
      </c>
      <c r="G19" s="5" t="inlineStr">
        <is>
          <t>PLAZA DE LA PAZ</t>
        </is>
      </c>
      <c r="H19" s="5" t="n"/>
      <c r="I19" s="5" t="n"/>
      <c r="J19" s="5" t="n"/>
      <c r="K19" s="5" t="n"/>
      <c r="L19" s="6" t="n"/>
      <c r="M19" s="6" t="n"/>
      <c r="N19" s="5" t="n"/>
      <c r="O19" s="7" t="n"/>
      <c r="P19" s="6" t="n"/>
    </row>
    <row r="20" ht="32" customHeight="1">
      <c r="A20" s="5" t="inlineStr">
        <is>
          <t>IUB-PAZ-016</t>
        </is>
      </c>
      <c r="B20" s="5" t="inlineStr">
        <is>
          <t>16</t>
        </is>
      </c>
      <c r="C20" s="6" t="inlineStr">
        <is>
          <t>La Celestina</t>
        </is>
      </c>
      <c r="D20" s="6" t="inlineStr">
        <is>
          <t>Fernando de Rojas</t>
        </is>
      </c>
      <c r="E20" s="6" t="inlineStr">
        <is>
          <t>Atenea</t>
        </is>
      </c>
      <c r="F20" s="5" t="inlineStr">
        <is>
          <t>1</t>
        </is>
      </c>
      <c r="G20" s="5" t="inlineStr">
        <is>
          <t>PLAZA DE LA PAZ</t>
        </is>
      </c>
      <c r="H20" s="5" t="n"/>
      <c r="I20" s="5" t="n"/>
      <c r="J20" s="5" t="n"/>
      <c r="K20" s="5" t="n"/>
      <c r="L20" s="6" t="n"/>
      <c r="M20" s="6" t="n"/>
      <c r="N20" s="5" t="n"/>
      <c r="O20" s="7" t="n"/>
      <c r="P20" s="6" t="n"/>
    </row>
    <row r="21" ht="32" customHeight="1">
      <c r="A21" s="5" t="inlineStr">
        <is>
          <t>IUB-PAZ-017</t>
        </is>
      </c>
      <c r="B21" s="5" t="inlineStr">
        <is>
          <t>17</t>
        </is>
      </c>
      <c r="C21" s="6" t="inlineStr">
        <is>
          <t>Por Culpa de una S</t>
        </is>
      </c>
      <c r="D21" s="6" t="inlineStr">
        <is>
          <t>Cristina Rebull</t>
        </is>
      </c>
      <c r="E21" s="6" t="inlineStr">
        <is>
          <t>Norma</t>
        </is>
      </c>
      <c r="F21" s="5" t="inlineStr">
        <is>
          <t>1</t>
        </is>
      </c>
      <c r="G21" s="5" t="inlineStr">
        <is>
          <t>PLAZA DE LA PAZ</t>
        </is>
      </c>
      <c r="H21" s="5" t="n"/>
      <c r="I21" s="5" t="n"/>
      <c r="J21" s="5" t="n"/>
      <c r="K21" s="5" t="n"/>
      <c r="L21" s="6" t="n"/>
      <c r="M21" s="6" t="n"/>
      <c r="N21" s="5" t="n"/>
      <c r="O21" s="7" t="n"/>
      <c r="P21" s="6" t="n"/>
    </row>
    <row r="22" ht="32" customHeight="1">
      <c r="A22" s="5" t="inlineStr">
        <is>
          <t>IUB-PAZ-018</t>
        </is>
      </c>
      <c r="B22" s="5" t="inlineStr">
        <is>
          <t>18</t>
        </is>
      </c>
      <c r="C22" s="6" t="inlineStr">
        <is>
          <t>Relato de un Naufrago</t>
        </is>
      </c>
      <c r="D22" s="6" t="inlineStr">
        <is>
          <t>Gabriel Garcia Marquez</t>
        </is>
      </c>
      <c r="E22" s="6" t="inlineStr">
        <is>
          <t>Norma</t>
        </is>
      </c>
      <c r="F22" s="5" t="inlineStr">
        <is>
          <t>1</t>
        </is>
      </c>
      <c r="G22" s="5" t="inlineStr">
        <is>
          <t>PLAZA DE LA PAZ</t>
        </is>
      </c>
      <c r="H22" s="5" t="n"/>
      <c r="I22" s="5" t="n"/>
      <c r="J22" s="5" t="n"/>
      <c r="K22" s="5" t="n"/>
      <c r="L22" s="6" t="n"/>
      <c r="M22" s="6" t="n"/>
      <c r="N22" s="5" t="n"/>
      <c r="O22" s="7" t="n"/>
      <c r="P22" s="6" t="n"/>
    </row>
    <row r="23" ht="32" customHeight="1">
      <c r="A23" s="5" t="inlineStr">
        <is>
          <t>IUB-PAZ-019</t>
        </is>
      </c>
      <c r="B23" s="5" t="inlineStr">
        <is>
          <t>19</t>
        </is>
      </c>
      <c r="C23" s="6" t="inlineStr">
        <is>
          <t>El Lobo y los Siete Cabritos</t>
        </is>
      </c>
      <c r="D23" s="6" t="inlineStr">
        <is>
          <t>Christine NÖstlinger</t>
        </is>
      </c>
      <c r="E23" s="6" t="inlineStr">
        <is>
          <t>Norma</t>
        </is>
      </c>
      <c r="F23" s="5" t="inlineStr">
        <is>
          <t>1</t>
        </is>
      </c>
      <c r="G23" s="5" t="inlineStr">
        <is>
          <t>PLAZA DE LA PAZ</t>
        </is>
      </c>
      <c r="H23" s="5" t="n"/>
      <c r="I23" s="5" t="n"/>
      <c r="J23" s="5" t="n"/>
      <c r="K23" s="5" t="n"/>
      <c r="L23" s="6" t="n"/>
      <c r="M23" s="6" t="n"/>
      <c r="N23" s="5" t="n"/>
      <c r="O23" s="7" t="n"/>
      <c r="P23" s="6" t="n"/>
    </row>
    <row r="24" ht="32" customHeight="1">
      <c r="A24" s="5" t="inlineStr">
        <is>
          <t>IUB-PAZ-020</t>
        </is>
      </c>
      <c r="B24" s="5" t="inlineStr">
        <is>
          <t>20</t>
        </is>
      </c>
      <c r="C24" s="6" t="inlineStr">
        <is>
          <t>El Refugio de Poder Olvidar</t>
        </is>
      </c>
      <c r="D24" s="6" t="inlineStr">
        <is>
          <t>Maria Cristina Ocampo de Manzano</t>
        </is>
      </c>
      <c r="E24" s="6" t="inlineStr">
        <is>
          <t>N/E</t>
        </is>
      </c>
      <c r="F24" s="5" t="inlineStr">
        <is>
          <t>1</t>
        </is>
      </c>
      <c r="G24" s="5" t="inlineStr">
        <is>
          <t>PLAZA DE LA PAZ</t>
        </is>
      </c>
      <c r="H24" s="5" t="n"/>
      <c r="I24" s="5" t="n"/>
      <c r="J24" s="5" t="n"/>
      <c r="K24" s="5" t="n"/>
      <c r="L24" s="6" t="n"/>
      <c r="M24" s="6" t="n"/>
      <c r="N24" s="5" t="n"/>
      <c r="O24" s="7" t="n"/>
      <c r="P24" s="6" t="n"/>
    </row>
    <row r="25" ht="32" customHeight="1">
      <c r="A25" s="5" t="inlineStr">
        <is>
          <t>IUB-PAZ-021</t>
        </is>
      </c>
      <c r="B25" s="5" t="inlineStr">
        <is>
          <t>21</t>
        </is>
      </c>
      <c r="C25" s="6" t="inlineStr">
        <is>
          <t>El Cuaderno de Notas de Miguel</t>
        </is>
      </c>
      <c r="D25" s="6" t="inlineStr">
        <is>
          <t>Pedro Conrado Cudriz</t>
        </is>
      </c>
      <c r="E25" s="6" t="inlineStr">
        <is>
          <t>Sibila</t>
        </is>
      </c>
      <c r="F25" s="5" t="inlineStr">
        <is>
          <t>1</t>
        </is>
      </c>
      <c r="G25" s="5" t="inlineStr">
        <is>
          <t>PLAZA DE LA PAZ</t>
        </is>
      </c>
      <c r="H25" s="5" t="n"/>
      <c r="I25" s="5" t="n"/>
      <c r="J25" s="5" t="n"/>
      <c r="K25" s="5" t="n"/>
      <c r="L25" s="6" t="n"/>
      <c r="M25" s="6" t="n"/>
      <c r="N25" s="5" t="n"/>
      <c r="O25" s="7" t="n"/>
      <c r="P25" s="6" t="n"/>
    </row>
    <row r="26" ht="32" customHeight="1">
      <c r="A26" s="5" t="inlineStr">
        <is>
          <t>IUB-PAZ-022</t>
        </is>
      </c>
      <c r="B26" s="5" t="inlineStr">
        <is>
          <t>22</t>
        </is>
      </c>
      <c r="C26" s="6" t="inlineStr">
        <is>
          <t>La Nueva Tierra</t>
        </is>
      </c>
      <c r="D26" s="6" t="inlineStr">
        <is>
          <t>Jordi Sierra i Fabra</t>
        </is>
      </c>
      <c r="E26" s="6" t="inlineStr">
        <is>
          <t>Alfaguara Juvenil</t>
        </is>
      </c>
      <c r="F26" s="5" t="inlineStr">
        <is>
          <t>1</t>
        </is>
      </c>
      <c r="G26" s="5" t="inlineStr">
        <is>
          <t>PLAZA DE LA PAZ</t>
        </is>
      </c>
      <c r="H26" s="5" t="n"/>
      <c r="I26" s="5" t="n"/>
      <c r="J26" s="5" t="n"/>
      <c r="K26" s="5" t="n"/>
      <c r="L26" s="6" t="n"/>
      <c r="M26" s="6" t="n"/>
      <c r="N26" s="5" t="n"/>
      <c r="O26" s="7" t="n"/>
      <c r="P26" s="6" t="n"/>
    </row>
    <row r="27" ht="32" customHeight="1">
      <c r="A27" s="5" t="inlineStr">
        <is>
          <t>IUB-PAZ-023</t>
        </is>
      </c>
      <c r="B27" s="5" t="inlineStr">
        <is>
          <t>23</t>
        </is>
      </c>
      <c r="C27" s="6" t="inlineStr">
        <is>
          <t>Del Secuestro y Otras Muertes</t>
        </is>
      </c>
      <c r="D27" s="6" t="inlineStr">
        <is>
          <t>Camilo Romero</t>
        </is>
      </c>
      <c r="E27" s="6" t="inlineStr">
        <is>
          <t>Intermedio</t>
        </is>
      </c>
      <c r="F27" s="5" t="inlineStr">
        <is>
          <t>1</t>
        </is>
      </c>
      <c r="G27" s="5" t="inlineStr">
        <is>
          <t>PLAZA DE LA PAZ</t>
        </is>
      </c>
      <c r="H27" s="5" t="n"/>
      <c r="I27" s="5" t="n"/>
      <c r="J27" s="5" t="n"/>
      <c r="K27" s="5" t="n"/>
      <c r="L27" s="6" t="n"/>
      <c r="M27" s="6" t="n"/>
      <c r="N27" s="5" t="n"/>
      <c r="O27" s="7" t="n"/>
      <c r="P27" s="6" t="n"/>
    </row>
    <row r="28" ht="32" customHeight="1">
      <c r="A28" s="5" t="inlineStr">
        <is>
          <t>IUB-PAZ-024</t>
        </is>
      </c>
      <c r="B28" s="5" t="inlineStr">
        <is>
          <t>24</t>
        </is>
      </c>
      <c r="C28" s="6" t="inlineStr">
        <is>
          <t>El Paisaje de una Amistad</t>
        </is>
      </c>
      <c r="D28" s="6" t="inlineStr">
        <is>
          <t>Angel Esteban, Stephanie Panichelli</t>
        </is>
      </c>
      <c r="E28" s="6" t="inlineStr">
        <is>
          <t>Espasa e Hoy</t>
        </is>
      </c>
      <c r="F28" s="5" t="inlineStr">
        <is>
          <t>1</t>
        </is>
      </c>
      <c r="G28" s="5" t="inlineStr">
        <is>
          <t>PLAZA DE LA PAZ</t>
        </is>
      </c>
      <c r="H28" s="5" t="n"/>
      <c r="I28" s="5" t="n"/>
      <c r="J28" s="5" t="n"/>
      <c r="K28" s="5" t="n"/>
      <c r="L28" s="6" t="n"/>
      <c r="M28" s="6" t="n"/>
      <c r="N28" s="5" t="n"/>
      <c r="O28" s="7" t="n"/>
      <c r="P28" s="6" t="n"/>
    </row>
    <row r="29" ht="32" customHeight="1">
      <c r="A29" s="5" t="inlineStr">
        <is>
          <t>IUB-PAZ-025</t>
        </is>
      </c>
      <c r="B29" s="5" t="inlineStr">
        <is>
          <t>25</t>
        </is>
      </c>
      <c r="C29" s="6" t="inlineStr">
        <is>
          <t>El Manuscrito Encontrado en Accra</t>
        </is>
      </c>
      <c r="D29" s="6" t="inlineStr">
        <is>
          <t>Paulo Coelho</t>
        </is>
      </c>
      <c r="E29" s="6" t="inlineStr">
        <is>
          <t>Grijalbo</t>
        </is>
      </c>
      <c r="F29" s="5" t="inlineStr">
        <is>
          <t>1</t>
        </is>
      </c>
      <c r="G29" s="5" t="inlineStr">
        <is>
          <t>PLAZA DE LA PAZ</t>
        </is>
      </c>
      <c r="H29" s="5" t="n"/>
      <c r="I29" s="5" t="n"/>
      <c r="J29" s="5" t="n"/>
      <c r="K29" s="5" t="n"/>
      <c r="L29" s="6" t="n"/>
      <c r="M29" s="6" t="n"/>
      <c r="N29" s="5" t="n"/>
      <c r="O29" s="7" t="n"/>
      <c r="P29" s="6" t="n"/>
    </row>
    <row r="30" ht="32" customHeight="1">
      <c r="A30" s="5" t="inlineStr">
        <is>
          <t>IUB-PAZ-026</t>
        </is>
      </c>
      <c r="B30" s="5" t="inlineStr">
        <is>
          <t>26</t>
        </is>
      </c>
      <c r="C30" s="6" t="inlineStr">
        <is>
          <t>El Higado de Prometeo</t>
        </is>
      </c>
      <c r="D30" s="6" t="inlineStr">
        <is>
          <t>Jorge Bustos</t>
        </is>
      </c>
      <c r="E30" s="6" t="inlineStr">
        <is>
          <t>Nobel</t>
        </is>
      </c>
      <c r="F30" s="5" t="inlineStr">
        <is>
          <t>1</t>
        </is>
      </c>
      <c r="G30" s="5" t="inlineStr">
        <is>
          <t>PLAZA DE LA PAZ</t>
        </is>
      </c>
      <c r="H30" s="5" t="n"/>
      <c r="I30" s="5" t="n"/>
      <c r="J30" s="5" t="n"/>
      <c r="K30" s="5" t="n"/>
      <c r="L30" s="6" t="n"/>
      <c r="M30" s="6" t="n"/>
      <c r="N30" s="5" t="n"/>
      <c r="O30" s="7" t="n"/>
      <c r="P30" s="6" t="n"/>
    </row>
    <row r="31" ht="32" customHeight="1">
      <c r="A31" s="5" t="inlineStr">
        <is>
          <t>IUB-PAZ-027</t>
        </is>
      </c>
      <c r="B31" s="5" t="inlineStr">
        <is>
          <t>27</t>
        </is>
      </c>
      <c r="C31" s="6" t="inlineStr">
        <is>
          <t>Boulevard</t>
        </is>
      </c>
      <c r="D31" s="6" t="inlineStr">
        <is>
          <t>Flor Salvador</t>
        </is>
      </c>
      <c r="E31" s="6" t="inlineStr">
        <is>
          <t>Naranja</t>
        </is>
      </c>
      <c r="F31" s="5" t="inlineStr">
        <is>
          <t>1</t>
        </is>
      </c>
      <c r="G31" s="5" t="inlineStr">
        <is>
          <t>PLAZA DE LA PAZ</t>
        </is>
      </c>
      <c r="H31" s="5" t="n"/>
      <c r="I31" s="5" t="n"/>
      <c r="J31" s="5" t="n"/>
      <c r="K31" s="5" t="n"/>
      <c r="L31" s="6" t="n"/>
      <c r="M31" s="6" t="n"/>
      <c r="N31" s="5" t="n"/>
      <c r="O31" s="7" t="n"/>
      <c r="P31" s="6" t="n"/>
    </row>
    <row r="32" ht="32" customHeight="1">
      <c r="A32" s="5" t="inlineStr">
        <is>
          <t>IUB-PAZ-028</t>
        </is>
      </c>
      <c r="B32" s="5" t="inlineStr">
        <is>
          <t>28</t>
        </is>
      </c>
      <c r="C32" s="6" t="inlineStr">
        <is>
          <t>Las Estrellas son Negras</t>
        </is>
      </c>
      <c r="D32" s="6" t="inlineStr">
        <is>
          <t>Arnoldo Palacios</t>
        </is>
      </c>
      <c r="E32" s="6" t="inlineStr">
        <is>
          <t>Intermedio</t>
        </is>
      </c>
      <c r="F32" s="5" t="inlineStr">
        <is>
          <t>1</t>
        </is>
      </c>
      <c r="G32" s="5" t="inlineStr">
        <is>
          <t>PLAZA DE LA PAZ</t>
        </is>
      </c>
      <c r="H32" s="5" t="n"/>
      <c r="I32" s="5" t="n"/>
      <c r="J32" s="5" t="n"/>
      <c r="K32" s="5" t="n"/>
      <c r="L32" s="6" t="n"/>
      <c r="M32" s="6" t="n"/>
      <c r="N32" s="5" t="n"/>
      <c r="O32" s="7" t="n"/>
      <c r="P32" s="6" t="n"/>
    </row>
    <row r="33" ht="32" customHeight="1">
      <c r="A33" s="5" t="inlineStr">
        <is>
          <t>IUB-PAZ-029</t>
        </is>
      </c>
      <c r="B33" s="5" t="inlineStr">
        <is>
          <t>29</t>
        </is>
      </c>
      <c r="C33" s="6" t="inlineStr">
        <is>
          <t>Cien Años de Soledad</t>
        </is>
      </c>
      <c r="D33" s="6" t="inlineStr">
        <is>
          <t>Gabriel Garcia Marquez</t>
        </is>
      </c>
      <c r="E33" s="6" t="inlineStr">
        <is>
          <t>Norma</t>
        </is>
      </c>
      <c r="F33" s="5" t="inlineStr">
        <is>
          <t>1</t>
        </is>
      </c>
      <c r="G33" s="5" t="inlineStr">
        <is>
          <t>PLAZA DE LA PAZ</t>
        </is>
      </c>
      <c r="H33" s="5" t="n"/>
      <c r="I33" s="5" t="n"/>
      <c r="J33" s="5" t="n"/>
      <c r="K33" s="5" t="n"/>
      <c r="L33" s="6" t="n"/>
      <c r="M33" s="6" t="n"/>
      <c r="N33" s="5" t="n"/>
      <c r="O33" s="7" t="n"/>
      <c r="P33" s="6" t="n"/>
    </row>
    <row r="34" ht="32" customHeight="1">
      <c r="A34" s="5" t="inlineStr">
        <is>
          <t>IUB-PAZ-030</t>
        </is>
      </c>
      <c r="B34" s="5" t="inlineStr">
        <is>
          <t>30</t>
        </is>
      </c>
      <c r="C34" s="6" t="inlineStr">
        <is>
          <t>Las Mujeres del Quijote</t>
        </is>
      </c>
      <c r="D34" s="6" t="inlineStr">
        <is>
          <t>Miguel de Cervantes Saavedra</t>
        </is>
      </c>
      <c r="E34" s="6" t="inlineStr">
        <is>
          <t>N/E</t>
        </is>
      </c>
      <c r="F34" s="5" t="inlineStr">
        <is>
          <t>1</t>
        </is>
      </c>
      <c r="G34" s="5" t="inlineStr">
        <is>
          <t>PLAZA DE LA PAZ</t>
        </is>
      </c>
      <c r="H34" s="5" t="n"/>
      <c r="I34" s="5" t="n"/>
      <c r="J34" s="5" t="n"/>
      <c r="K34" s="5" t="n"/>
      <c r="L34" s="6" t="n"/>
      <c r="M34" s="6" t="n"/>
      <c r="N34" s="5" t="n"/>
      <c r="O34" s="7" t="n"/>
      <c r="P34" s="6" t="n"/>
    </row>
    <row r="35" ht="32" customHeight="1">
      <c r="A35" s="5" t="inlineStr">
        <is>
          <t>IUB-PAZ-031</t>
        </is>
      </c>
      <c r="B35" s="5" t="inlineStr">
        <is>
          <t>31</t>
        </is>
      </c>
      <c r="C35" s="6" t="inlineStr">
        <is>
          <t>Las Mujeres del Quijote</t>
        </is>
      </c>
      <c r="D35" s="6" t="inlineStr">
        <is>
          <t>Miguel de Cervantes Saavedra</t>
        </is>
      </c>
      <c r="E35" s="6" t="inlineStr">
        <is>
          <t>N/E</t>
        </is>
      </c>
      <c r="F35" s="5" t="inlineStr">
        <is>
          <t>2</t>
        </is>
      </c>
      <c r="G35" s="5" t="inlineStr">
        <is>
          <t>PLAZA DE LA PAZ</t>
        </is>
      </c>
      <c r="H35" s="5" t="n"/>
      <c r="I35" s="5" t="n"/>
      <c r="J35" s="5" t="n"/>
      <c r="K35" s="5" t="n"/>
      <c r="L35" s="6" t="n"/>
      <c r="M35" s="6" t="n"/>
      <c r="N35" s="5" t="n"/>
      <c r="O35" s="7" t="n"/>
      <c r="P35" s="6" t="n"/>
    </row>
    <row r="36" ht="32" customHeight="1">
      <c r="A36" s="5" t="inlineStr">
        <is>
          <t>IUB-PAZ-032</t>
        </is>
      </c>
      <c r="B36" s="5" t="inlineStr">
        <is>
          <t>32</t>
        </is>
      </c>
      <c r="C36" s="6" t="inlineStr">
        <is>
          <t>Mujeres que Aman Demasiado</t>
        </is>
      </c>
      <c r="D36" s="6" t="inlineStr">
        <is>
          <t>Robin Norwood</t>
        </is>
      </c>
      <c r="E36" s="6" t="inlineStr">
        <is>
          <t>Byblos</t>
        </is>
      </c>
      <c r="F36" s="5" t="inlineStr">
        <is>
          <t>1</t>
        </is>
      </c>
      <c r="G36" s="5" t="inlineStr">
        <is>
          <t>PLAZA DE LA PAZ</t>
        </is>
      </c>
      <c r="H36" s="5" t="n"/>
      <c r="I36" s="5" t="n"/>
      <c r="J36" s="5" t="n"/>
      <c r="K36" s="5" t="n"/>
      <c r="L36" s="6" t="n"/>
      <c r="M36" s="6" t="n"/>
      <c r="N36" s="5" t="n"/>
      <c r="O36" s="7" t="n"/>
      <c r="P36" s="6" t="n"/>
    </row>
    <row r="37" ht="32" customHeight="1">
      <c r="A37" s="5" t="inlineStr">
        <is>
          <t>IUB-PAZ-033</t>
        </is>
      </c>
      <c r="B37" s="5" t="inlineStr">
        <is>
          <t>33</t>
        </is>
      </c>
      <c r="C37" s="6" t="inlineStr">
        <is>
          <t>El Llano en Llamas</t>
        </is>
      </c>
      <c r="D37" s="6" t="inlineStr">
        <is>
          <t>Juan Rulfo</t>
        </is>
      </c>
      <c r="E37" s="6" t="inlineStr">
        <is>
          <t>N/E</t>
        </is>
      </c>
      <c r="F37" s="5" t="inlineStr">
        <is>
          <t>1</t>
        </is>
      </c>
      <c r="G37" s="5" t="inlineStr">
        <is>
          <t>PLAZA DE LA PAZ</t>
        </is>
      </c>
      <c r="H37" s="5" t="n"/>
      <c r="I37" s="5" t="n"/>
      <c r="J37" s="5" t="n"/>
      <c r="K37" s="5" t="n"/>
      <c r="L37" s="6" t="n"/>
      <c r="M37" s="6" t="n"/>
      <c r="N37" s="5" t="n"/>
      <c r="O37" s="7" t="n"/>
      <c r="P37" s="6" t="n"/>
    </row>
    <row r="38" ht="32" customHeight="1">
      <c r="A38" s="5" t="inlineStr">
        <is>
          <t>IUB-PAZ-034</t>
        </is>
      </c>
      <c r="B38" s="5" t="inlineStr">
        <is>
          <t>34</t>
        </is>
      </c>
      <c r="C38" s="6" t="inlineStr">
        <is>
          <t>Sea su Propio Jefe</t>
        </is>
      </c>
      <c r="D38" s="6" t="inlineStr">
        <is>
          <t>N/A</t>
        </is>
      </c>
      <c r="E38" s="6" t="inlineStr">
        <is>
          <t>El Espectador</t>
        </is>
      </c>
      <c r="F38" s="5" t="inlineStr">
        <is>
          <t>1</t>
        </is>
      </c>
      <c r="G38" s="5" t="inlineStr">
        <is>
          <t>PLAZA DE LA PAZ</t>
        </is>
      </c>
      <c r="H38" s="5" t="n"/>
      <c r="I38" s="5" t="n"/>
      <c r="J38" s="5" t="n"/>
      <c r="K38" s="5" t="n"/>
      <c r="L38" s="6" t="n"/>
      <c r="M38" s="6" t="n"/>
      <c r="N38" s="5" t="n"/>
      <c r="O38" s="7" t="n"/>
      <c r="P38" s="6" t="n"/>
    </row>
    <row r="39" ht="32" customHeight="1">
      <c r="A39" s="5" t="inlineStr">
        <is>
          <t>IUB-PAZ-035</t>
        </is>
      </c>
      <c r="B39" s="5" t="inlineStr">
        <is>
          <t>35</t>
        </is>
      </c>
      <c r="C39" s="6" t="inlineStr">
        <is>
          <t>El Extraño Caso del DR. Jekylly MR. Hyde</t>
        </is>
      </c>
      <c r="D39" s="6" t="inlineStr">
        <is>
          <t>Stevenson</t>
        </is>
      </c>
      <c r="E39" s="6" t="inlineStr">
        <is>
          <t>Norma</t>
        </is>
      </c>
      <c r="F39" s="5" t="inlineStr">
        <is>
          <t>1</t>
        </is>
      </c>
      <c r="G39" s="5" t="inlineStr">
        <is>
          <t>PLAZA DE LA PAZ</t>
        </is>
      </c>
      <c r="H39" s="5" t="n"/>
      <c r="I39" s="5" t="n"/>
      <c r="J39" s="5" t="n"/>
      <c r="K39" s="5" t="n"/>
      <c r="L39" s="6" t="n"/>
      <c r="M39" s="6" t="n"/>
      <c r="N39" s="5" t="n"/>
      <c r="O39" s="7" t="n"/>
      <c r="P39" s="6" t="n"/>
    </row>
    <row r="40" ht="32" customHeight="1">
      <c r="A40" s="5" t="inlineStr">
        <is>
          <t>IUB-PAZ-036</t>
        </is>
      </c>
      <c r="B40" s="5" t="inlineStr">
        <is>
          <t>36</t>
        </is>
      </c>
      <c r="C40" s="6" t="inlineStr">
        <is>
          <t>Veinte Poemas de Amor y una Cancion Desesperada</t>
        </is>
      </c>
      <c r="D40" s="6" t="inlineStr">
        <is>
          <t>Pablo Neruda</t>
        </is>
      </c>
      <c r="E40" s="6" t="inlineStr">
        <is>
          <t>N/E</t>
        </is>
      </c>
      <c r="F40" s="5" t="inlineStr">
        <is>
          <t>1</t>
        </is>
      </c>
      <c r="G40" s="5" t="inlineStr">
        <is>
          <t>PLAZA DE LA PAZ</t>
        </is>
      </c>
      <c r="H40" s="5" t="n"/>
      <c r="I40" s="5" t="n"/>
      <c r="J40" s="5" t="n"/>
      <c r="K40" s="5" t="n"/>
      <c r="L40" s="6" t="n"/>
      <c r="M40" s="6" t="n"/>
      <c r="N40" s="5" t="n"/>
      <c r="O40" s="7" t="n"/>
      <c r="P40" s="6" t="n"/>
    </row>
    <row r="41" ht="32" customHeight="1">
      <c r="A41" s="5" t="inlineStr">
        <is>
          <t>IUB-PAZ-037</t>
        </is>
      </c>
      <c r="B41" s="5" t="inlineStr">
        <is>
          <t>37</t>
        </is>
      </c>
      <c r="C41" s="6" t="inlineStr">
        <is>
          <t>Noches Blancas</t>
        </is>
      </c>
      <c r="D41" s="6" t="inlineStr">
        <is>
          <t>Fiodor Dostoyevski</t>
        </is>
      </c>
      <c r="E41" s="6" t="inlineStr">
        <is>
          <t>Skla</t>
        </is>
      </c>
      <c r="F41" s="5" t="inlineStr">
        <is>
          <t>1</t>
        </is>
      </c>
      <c r="G41" s="5" t="inlineStr">
        <is>
          <t>PLAZA DE LA PAZ</t>
        </is>
      </c>
      <c r="H41" s="5" t="n"/>
      <c r="I41" s="5" t="n"/>
      <c r="J41" s="5" t="n"/>
      <c r="K41" s="5" t="n"/>
      <c r="L41" s="6" t="n"/>
      <c r="M41" s="6" t="n"/>
      <c r="N41" s="5" t="n"/>
      <c r="O41" s="7" t="n"/>
      <c r="P41" s="6" t="n"/>
    </row>
    <row r="42" ht="32" customHeight="1">
      <c r="A42" s="5" t="inlineStr">
        <is>
          <t>IUB-PAZ-038</t>
        </is>
      </c>
      <c r="B42" s="5" t="inlineStr">
        <is>
          <t>38</t>
        </is>
      </c>
      <c r="C42" s="6" t="inlineStr">
        <is>
          <t>Lazarillo de Tormes</t>
        </is>
      </c>
      <c r="D42" s="6" t="inlineStr">
        <is>
          <t>Anonimo</t>
        </is>
      </c>
      <c r="E42" s="6" t="inlineStr">
        <is>
          <t>N/E</t>
        </is>
      </c>
      <c r="F42" s="5" t="inlineStr">
        <is>
          <t>1</t>
        </is>
      </c>
      <c r="G42" s="5" t="inlineStr">
        <is>
          <t>PLAZA DE LA PAZ</t>
        </is>
      </c>
      <c r="H42" s="5" t="n"/>
      <c r="I42" s="5" t="n"/>
      <c r="J42" s="5" t="n"/>
      <c r="K42" s="5" t="n"/>
      <c r="L42" s="6" t="n"/>
      <c r="M42" s="6" t="n"/>
      <c r="N42" s="5" t="n"/>
      <c r="O42" s="7" t="n"/>
      <c r="P42" s="6" t="n"/>
    </row>
    <row r="43" ht="32" customHeight="1">
      <c r="A43" s="5" t="inlineStr">
        <is>
          <t>IUB-PAZ-039</t>
        </is>
      </c>
      <c r="B43" s="5" t="inlineStr">
        <is>
          <t>39</t>
        </is>
      </c>
      <c r="C43" s="6" t="inlineStr">
        <is>
          <t>El Viejo y El Mar</t>
        </is>
      </c>
      <c r="D43" s="6" t="inlineStr">
        <is>
          <t>Ernest Hemingway</t>
        </is>
      </c>
      <c r="E43" s="6" t="inlineStr">
        <is>
          <t>Atenea</t>
        </is>
      </c>
      <c r="F43" s="5" t="inlineStr">
        <is>
          <t>1</t>
        </is>
      </c>
      <c r="G43" s="5" t="inlineStr">
        <is>
          <t>PLAZA DE LA PAZ</t>
        </is>
      </c>
      <c r="H43" s="5" t="n"/>
      <c r="I43" s="5" t="n"/>
      <c r="J43" s="5" t="n"/>
      <c r="K43" s="5" t="n"/>
      <c r="L43" s="6" t="n"/>
      <c r="M43" s="6" t="n"/>
      <c r="N43" s="5" t="n"/>
      <c r="O43" s="7" t="n"/>
      <c r="P43" s="6" t="n"/>
    </row>
    <row r="44" ht="32" customHeight="1">
      <c r="A44" s="5" t="inlineStr">
        <is>
          <t>IUB-PAZ-040</t>
        </is>
      </c>
      <c r="B44" s="5" t="inlineStr">
        <is>
          <t>40</t>
        </is>
      </c>
      <c r="C44" s="6" t="inlineStr">
        <is>
          <t>La Barca Sin Pescador Siete Gritos en el Mar</t>
        </is>
      </c>
      <c r="D44" s="6" t="inlineStr">
        <is>
          <t>Alejandro Casona</t>
        </is>
      </c>
      <c r="E44" s="6" t="inlineStr">
        <is>
          <t>Biblioteca Edaf</t>
        </is>
      </c>
      <c r="F44" s="5" t="inlineStr">
        <is>
          <t>1</t>
        </is>
      </c>
      <c r="G44" s="5" t="inlineStr">
        <is>
          <t>PLAZA DE LA PAZ</t>
        </is>
      </c>
      <c r="H44" s="5" t="n"/>
      <c r="I44" s="5" t="n"/>
      <c r="J44" s="5" t="n"/>
      <c r="K44" s="5" t="n"/>
      <c r="L44" s="6" t="n"/>
      <c r="M44" s="6" t="n"/>
      <c r="N44" s="5" t="n"/>
      <c r="O44" s="7" t="n"/>
      <c r="P44" s="6" t="n"/>
    </row>
    <row r="45" ht="32" customHeight="1">
      <c r="A45" s="5" t="inlineStr">
        <is>
          <t>IUB-PAZ-041</t>
        </is>
      </c>
      <c r="B45" s="5" t="inlineStr">
        <is>
          <t>41</t>
        </is>
      </c>
      <c r="C45" s="6" t="inlineStr">
        <is>
          <t>Nacho Chichones</t>
        </is>
      </c>
      <c r="D45" s="6" t="inlineStr">
        <is>
          <t>Gonzalo Maure Trenor</t>
        </is>
      </c>
      <c r="E45" s="6" t="inlineStr">
        <is>
          <t>SM</t>
        </is>
      </c>
      <c r="F45" s="5" t="inlineStr">
        <is>
          <t>1</t>
        </is>
      </c>
      <c r="G45" s="5" t="inlineStr">
        <is>
          <t>PLAZA DE LA PAZ</t>
        </is>
      </c>
      <c r="H45" s="5" t="n"/>
      <c r="I45" s="5" t="n"/>
      <c r="J45" s="5" t="n"/>
      <c r="K45" s="5" t="n"/>
      <c r="L45" s="6" t="n"/>
      <c r="M45" s="6" t="n"/>
      <c r="N45" s="5" t="n"/>
      <c r="O45" s="7" t="n"/>
      <c r="P45" s="6" t="n"/>
    </row>
    <row r="46" ht="32" customHeight="1">
      <c r="A46" s="5" t="inlineStr">
        <is>
          <t>IUB-PAZ-042</t>
        </is>
      </c>
      <c r="B46" s="5" t="inlineStr">
        <is>
          <t>42</t>
        </is>
      </c>
      <c r="C46" s="6" t="inlineStr">
        <is>
          <t>La Celestina</t>
        </is>
      </c>
      <c r="D46" s="6" t="inlineStr">
        <is>
          <t>Fernando de Rojas</t>
        </is>
      </c>
      <c r="E46" s="6" t="inlineStr">
        <is>
          <t>Atenea</t>
        </is>
      </c>
      <c r="F46" s="5" t="inlineStr">
        <is>
          <t>1</t>
        </is>
      </c>
      <c r="G46" s="5" t="inlineStr">
        <is>
          <t>PLAZA DE LA PAZ</t>
        </is>
      </c>
      <c r="H46" s="5" t="n"/>
      <c r="I46" s="5" t="n"/>
      <c r="J46" s="5" t="n"/>
      <c r="K46" s="5" t="n"/>
      <c r="L46" s="6" t="n"/>
      <c r="M46" s="6" t="n"/>
      <c r="N46" s="5" t="n"/>
      <c r="O46" s="7" t="n"/>
      <c r="P46" s="6" t="n"/>
    </row>
    <row r="47" ht="32" customHeight="1">
      <c r="A47" s="5" t="inlineStr">
        <is>
          <t>IUB-PAZ-043</t>
        </is>
      </c>
      <c r="B47" s="5" t="inlineStr">
        <is>
          <t>43</t>
        </is>
      </c>
      <c r="C47" s="6" t="inlineStr">
        <is>
          <t>El Tunel</t>
        </is>
      </c>
      <c r="D47" s="6" t="inlineStr">
        <is>
          <t>Ernesto Sabato</t>
        </is>
      </c>
      <c r="E47" s="6" t="inlineStr">
        <is>
          <t>N/E</t>
        </is>
      </c>
      <c r="F47" s="5" t="inlineStr">
        <is>
          <t>1</t>
        </is>
      </c>
      <c r="G47" s="5" t="inlineStr">
        <is>
          <t>PLAZA DE LA PAZ</t>
        </is>
      </c>
      <c r="H47" s="5" t="n"/>
      <c r="I47" s="5" t="n"/>
      <c r="J47" s="5" t="n"/>
      <c r="K47" s="5" t="n"/>
      <c r="L47" s="6" t="n"/>
      <c r="M47" s="6" t="n"/>
      <c r="N47" s="5" t="n"/>
      <c r="O47" s="7" t="n"/>
      <c r="P47" s="6" t="n"/>
    </row>
    <row r="48" ht="32" customHeight="1">
      <c r="A48" s="5" t="inlineStr">
        <is>
          <t>IUB-PAZ-044</t>
        </is>
      </c>
      <c r="B48" s="5" t="inlineStr">
        <is>
          <t>44</t>
        </is>
      </c>
      <c r="C48" s="6" t="inlineStr">
        <is>
          <t>Chat Natacha Chat</t>
        </is>
      </c>
      <c r="D48" s="6" t="inlineStr">
        <is>
          <t>Luis Maria Pescetti</t>
        </is>
      </c>
      <c r="E48" s="6" t="inlineStr">
        <is>
          <t>Alfaguara Juvenil</t>
        </is>
      </c>
      <c r="F48" s="5" t="inlineStr">
        <is>
          <t>1</t>
        </is>
      </c>
      <c r="G48" s="5" t="inlineStr">
        <is>
          <t>PLAZA DE LA PAZ</t>
        </is>
      </c>
      <c r="H48" s="5" t="n"/>
      <c r="I48" s="5" t="n"/>
      <c r="J48" s="5" t="n"/>
      <c r="K48" s="5" t="n"/>
      <c r="L48" s="6" t="n"/>
      <c r="M48" s="6" t="n"/>
      <c r="N48" s="5" t="n"/>
      <c r="O48" s="7" t="n"/>
      <c r="P48" s="6" t="n"/>
    </row>
    <row r="49" ht="32" customHeight="1">
      <c r="A49" s="5" t="inlineStr">
        <is>
          <t>IUB-PAZ-045</t>
        </is>
      </c>
      <c r="B49" s="5" t="inlineStr">
        <is>
          <t>45</t>
        </is>
      </c>
      <c r="C49" s="6" t="inlineStr">
        <is>
          <t>El Dia del Odio</t>
        </is>
      </c>
      <c r="D49" s="6" t="inlineStr">
        <is>
          <t>Osorio Lizarazo</t>
        </is>
      </c>
      <c r="E49" s="6" t="inlineStr">
        <is>
          <t>N/E</t>
        </is>
      </c>
      <c r="F49" s="5" t="inlineStr">
        <is>
          <t>1</t>
        </is>
      </c>
      <c r="G49" s="5" t="inlineStr">
        <is>
          <t>PLAZA DE LA PAZ</t>
        </is>
      </c>
      <c r="H49" s="5" t="n"/>
      <c r="I49" s="5" t="n"/>
      <c r="J49" s="5" t="n"/>
      <c r="K49" s="5" t="n"/>
      <c r="L49" s="6" t="n"/>
      <c r="M49" s="6" t="n"/>
      <c r="N49" s="5" t="n"/>
      <c r="O49" s="7" t="n"/>
      <c r="P49" s="6" t="n"/>
    </row>
    <row r="50" ht="32" customHeight="1">
      <c r="A50" s="5" t="inlineStr">
        <is>
          <t>IUB-PAZ-046</t>
        </is>
      </c>
      <c r="B50" s="5" t="inlineStr">
        <is>
          <t>46</t>
        </is>
      </c>
      <c r="C50" s="6" t="inlineStr">
        <is>
          <t>Toby</t>
        </is>
      </c>
      <c r="D50" s="6" t="inlineStr">
        <is>
          <t>Graciela Cabal</t>
        </is>
      </c>
      <c r="E50" s="6" t="inlineStr">
        <is>
          <t>Norma</t>
        </is>
      </c>
      <c r="F50" s="5" t="inlineStr">
        <is>
          <t>1</t>
        </is>
      </c>
      <c r="G50" s="5" t="inlineStr">
        <is>
          <t>PLAZA DE LA PAZ</t>
        </is>
      </c>
      <c r="H50" s="5" t="n"/>
      <c r="I50" s="5" t="n"/>
      <c r="J50" s="5" t="n"/>
      <c r="K50" s="5" t="n"/>
      <c r="L50" s="6" t="n"/>
      <c r="M50" s="6" t="n"/>
      <c r="N50" s="5" t="n"/>
      <c r="O50" s="7" t="n"/>
      <c r="P50" s="6" t="n"/>
    </row>
    <row r="51" ht="32" customHeight="1">
      <c r="A51" s="5" t="inlineStr">
        <is>
          <t>IUB-PAZ-047</t>
        </is>
      </c>
      <c r="B51" s="5" t="inlineStr">
        <is>
          <t>47</t>
        </is>
      </c>
      <c r="C51" s="6" t="inlineStr">
        <is>
          <t>Foto Estudio Corazon</t>
        </is>
      </c>
      <c r="D51" s="6" t="inlineStr">
        <is>
          <t>Maria Fernanda Heredia</t>
        </is>
      </c>
      <c r="E51" s="6" t="inlineStr">
        <is>
          <t>Norma</t>
        </is>
      </c>
      <c r="F51" s="5" t="inlineStr">
        <is>
          <t>1</t>
        </is>
      </c>
      <c r="G51" s="5" t="inlineStr">
        <is>
          <t>PLAZA DE LA PAZ</t>
        </is>
      </c>
      <c r="H51" s="5" t="n"/>
      <c r="I51" s="5" t="n"/>
      <c r="J51" s="5" t="n"/>
      <c r="K51" s="5" t="n"/>
      <c r="L51" s="6" t="n"/>
      <c r="M51" s="6" t="n"/>
      <c r="N51" s="5" t="n"/>
      <c r="O51" s="7" t="n"/>
      <c r="P51" s="6" t="n"/>
    </row>
    <row r="52" ht="32" customHeight="1">
      <c r="A52" s="5" t="inlineStr">
        <is>
          <t>IUB-PAZ-048</t>
        </is>
      </c>
      <c r="B52" s="5" t="inlineStr">
        <is>
          <t>48</t>
        </is>
      </c>
      <c r="C52" s="6" t="inlineStr">
        <is>
          <t>Leyendas, Narraciones y Cuentos del Caribe Colombiano</t>
        </is>
      </c>
      <c r="D52" s="6" t="inlineStr">
        <is>
          <t>Martin Orozco Cantillo</t>
        </is>
      </c>
      <c r="E52" s="6" t="inlineStr">
        <is>
          <t>Sibila</t>
        </is>
      </c>
      <c r="F52" s="5" t="inlineStr">
        <is>
          <t>1</t>
        </is>
      </c>
      <c r="G52" s="5" t="inlineStr">
        <is>
          <t>PLAZA DE LA PAZ</t>
        </is>
      </c>
      <c r="H52" s="5" t="n"/>
      <c r="I52" s="5" t="n"/>
      <c r="J52" s="5" t="n"/>
      <c r="K52" s="5" t="n"/>
      <c r="L52" s="6" t="n"/>
      <c r="M52" s="6" t="n"/>
      <c r="N52" s="5" t="n"/>
      <c r="O52" s="7" t="n"/>
      <c r="P52" s="6" t="n"/>
    </row>
    <row r="53" ht="32" customHeight="1">
      <c r="A53" s="5" t="inlineStr">
        <is>
          <t>IUB-PAZ-049</t>
        </is>
      </c>
      <c r="B53" s="5" t="inlineStr">
        <is>
          <t>49</t>
        </is>
      </c>
      <c r="C53" s="6" t="inlineStr">
        <is>
          <t>Bajo la Misma Estrella</t>
        </is>
      </c>
      <c r="D53" s="6" t="inlineStr">
        <is>
          <t>John Green</t>
        </is>
      </c>
      <c r="E53" s="6" t="inlineStr">
        <is>
          <t>N/E</t>
        </is>
      </c>
      <c r="F53" s="5" t="inlineStr">
        <is>
          <t>1</t>
        </is>
      </c>
      <c r="G53" s="5" t="inlineStr">
        <is>
          <t>PLAZA DE LA PAZ</t>
        </is>
      </c>
      <c r="H53" s="5" t="n"/>
      <c r="I53" s="5" t="n"/>
      <c r="J53" s="5" t="n"/>
      <c r="K53" s="5" t="n"/>
      <c r="L53" s="6" t="n"/>
      <c r="M53" s="6" t="n"/>
      <c r="N53" s="5" t="n"/>
      <c r="O53" s="7" t="n"/>
      <c r="P53" s="6" t="n"/>
    </row>
    <row r="54" ht="32" customHeight="1">
      <c r="A54" s="5" t="inlineStr">
        <is>
          <t>IUB-PAZ-050</t>
        </is>
      </c>
      <c r="B54" s="5" t="inlineStr">
        <is>
          <t>50</t>
        </is>
      </c>
      <c r="C54" s="6" t="inlineStr">
        <is>
          <t>Cronicas de una Muerte Anunciada</t>
        </is>
      </c>
      <c r="D54" s="6" t="inlineStr">
        <is>
          <t>Gabriel Garcia Marquez</t>
        </is>
      </c>
      <c r="E54" s="6" t="inlineStr">
        <is>
          <t>N/E</t>
        </is>
      </c>
      <c r="F54" s="5" t="inlineStr">
        <is>
          <t>1</t>
        </is>
      </c>
      <c r="G54" s="5" t="inlineStr">
        <is>
          <t>PLAZA DE LA PAZ</t>
        </is>
      </c>
      <c r="H54" s="5" t="n"/>
      <c r="I54" s="5" t="n"/>
      <c r="J54" s="5" t="n"/>
      <c r="K54" s="5" t="n"/>
      <c r="L54" s="6" t="n"/>
      <c r="M54" s="6" t="n"/>
      <c r="N54" s="5" t="n"/>
      <c r="O54" s="7" t="n"/>
      <c r="P54" s="6" t="n"/>
    </row>
    <row r="55" ht="32" customHeight="1">
      <c r="A55" s="5" t="inlineStr">
        <is>
          <t>IUB-PAZ-051</t>
        </is>
      </c>
      <c r="B55" s="5" t="inlineStr">
        <is>
          <t>51</t>
        </is>
      </c>
      <c r="C55" s="6" t="inlineStr">
        <is>
          <t>Obra Poetica</t>
        </is>
      </c>
      <c r="D55" s="6" t="inlineStr">
        <is>
          <t>Largion Barros de la Hoz</t>
        </is>
      </c>
      <c r="E55" s="6" t="inlineStr">
        <is>
          <t>N/E</t>
        </is>
      </c>
      <c r="F55" s="5" t="inlineStr">
        <is>
          <t>1</t>
        </is>
      </c>
      <c r="G55" s="5" t="inlineStr">
        <is>
          <t>PLAZA DE LA PAZ</t>
        </is>
      </c>
      <c r="H55" s="5" t="n"/>
      <c r="I55" s="5" t="n"/>
      <c r="J55" s="5" t="n"/>
      <c r="K55" s="5" t="n"/>
      <c r="L55" s="6" t="n"/>
      <c r="M55" s="6" t="n"/>
      <c r="N55" s="5" t="n"/>
      <c r="O55" s="7" t="n"/>
      <c r="P55" s="6" t="n"/>
    </row>
    <row r="56" ht="32" customHeight="1">
      <c r="A56" s="5" t="inlineStr">
        <is>
          <t>IUB-PAZ-052</t>
        </is>
      </c>
      <c r="B56" s="5" t="inlineStr">
        <is>
          <t>52</t>
        </is>
      </c>
      <c r="C56" s="6" t="inlineStr">
        <is>
          <t>¿Quien se ha Llevado mi Queso?</t>
        </is>
      </c>
      <c r="D56" s="6" t="inlineStr">
        <is>
          <t>Spencer Johnson</t>
        </is>
      </c>
      <c r="E56" s="6" t="inlineStr">
        <is>
          <t>N/E</t>
        </is>
      </c>
      <c r="F56" s="5" t="inlineStr">
        <is>
          <t>1</t>
        </is>
      </c>
      <c r="G56" s="5" t="inlineStr">
        <is>
          <t>PLAZA DE LA PAZ</t>
        </is>
      </c>
      <c r="H56" s="5" t="n"/>
      <c r="I56" s="5" t="n"/>
      <c r="J56" s="5" t="n"/>
      <c r="K56" s="5" t="n"/>
      <c r="L56" s="6" t="n"/>
      <c r="M56" s="6" t="n"/>
      <c r="N56" s="5" t="n"/>
      <c r="O56" s="7" t="n"/>
      <c r="P56" s="6" t="n"/>
    </row>
    <row r="57" ht="32" customHeight="1">
      <c r="A57" s="5" t="inlineStr">
        <is>
          <t>IUB-PAZ-053</t>
        </is>
      </c>
      <c r="B57" s="5" t="inlineStr">
        <is>
          <t>53</t>
        </is>
      </c>
      <c r="C57" s="6" t="inlineStr">
        <is>
          <t>Bailando con Lobos</t>
        </is>
      </c>
      <c r="D57" s="6" t="inlineStr">
        <is>
          <t>Michael Blake</t>
        </is>
      </c>
      <c r="E57" s="6" t="inlineStr">
        <is>
          <t>RBA</t>
        </is>
      </c>
      <c r="F57" s="5" t="inlineStr">
        <is>
          <t>1</t>
        </is>
      </c>
      <c r="G57" s="5" t="inlineStr">
        <is>
          <t>PLAZA DE LA PAZ</t>
        </is>
      </c>
      <c r="H57" s="5" t="n"/>
      <c r="I57" s="5" t="n"/>
      <c r="J57" s="5" t="n"/>
      <c r="K57" s="5" t="n"/>
      <c r="L57" s="6" t="n"/>
      <c r="M57" s="6" t="n"/>
      <c r="N57" s="5" t="n"/>
      <c r="O57" s="7" t="n"/>
      <c r="P57" s="6" t="n"/>
    </row>
    <row r="58" ht="32" customHeight="1">
      <c r="A58" s="5" t="inlineStr">
        <is>
          <t>IUB-PAZ-054</t>
        </is>
      </c>
      <c r="B58" s="5" t="inlineStr">
        <is>
          <t>54</t>
        </is>
      </c>
      <c r="C58" s="6" t="inlineStr">
        <is>
          <t>Duespues del Funeral</t>
        </is>
      </c>
      <c r="D58" s="6" t="inlineStr">
        <is>
          <t>Agatha Christie</t>
        </is>
      </c>
      <c r="E58" s="6" t="inlineStr">
        <is>
          <t>Circulo de Lectores</t>
        </is>
      </c>
      <c r="F58" s="5" t="inlineStr">
        <is>
          <t>1</t>
        </is>
      </c>
      <c r="G58" s="5" t="inlineStr">
        <is>
          <t>PLAZA DE LA PAZ</t>
        </is>
      </c>
      <c r="H58" s="5" t="n"/>
      <c r="I58" s="5" t="n"/>
      <c r="J58" s="5" t="n"/>
      <c r="K58" s="5" t="n"/>
      <c r="L58" s="6" t="n"/>
      <c r="M58" s="6" t="n"/>
      <c r="N58" s="5" t="n"/>
      <c r="O58" s="7" t="n"/>
      <c r="P58" s="6" t="n"/>
    </row>
    <row r="59" ht="32" customHeight="1">
      <c r="A59" s="5" t="inlineStr">
        <is>
          <t>IUB-PAZ-055</t>
        </is>
      </c>
      <c r="B59" s="5" t="inlineStr">
        <is>
          <t>55</t>
        </is>
      </c>
      <c r="C59" s="6" t="inlineStr">
        <is>
          <t>PinceladasCuentisticas</t>
        </is>
      </c>
      <c r="D59" s="6" t="inlineStr">
        <is>
          <t>Alvaro Miranda Villalobos</t>
        </is>
      </c>
      <c r="E59" s="6" t="inlineStr">
        <is>
          <t>N/E</t>
        </is>
      </c>
      <c r="F59" s="5" t="inlineStr">
        <is>
          <t>1</t>
        </is>
      </c>
      <c r="G59" s="5" t="inlineStr">
        <is>
          <t>PLAZA DE LA PAZ</t>
        </is>
      </c>
      <c r="H59" s="5" t="n"/>
      <c r="I59" s="5" t="n"/>
      <c r="J59" s="5" t="n"/>
      <c r="K59" s="5" t="n"/>
      <c r="L59" s="6" t="n"/>
      <c r="M59" s="6" t="n"/>
      <c r="N59" s="5" t="n"/>
      <c r="O59" s="7" t="n"/>
      <c r="P59" s="6" t="n"/>
    </row>
    <row r="60" ht="32" customHeight="1">
      <c r="A60" s="5" t="inlineStr">
        <is>
          <t>IUB-PAZ-056</t>
        </is>
      </c>
      <c r="B60" s="5" t="inlineStr">
        <is>
          <t>56</t>
        </is>
      </c>
      <c r="C60" s="6" t="inlineStr">
        <is>
          <t>¿Chicos de la Calle o Trabajo Chico?</t>
        </is>
      </c>
      <c r="D60" s="6" t="inlineStr">
        <is>
          <t>Jose Manuel Grima, Alicia le Fur</t>
        </is>
      </c>
      <c r="E60" s="6" t="inlineStr">
        <is>
          <t>Lumen Hymanitas</t>
        </is>
      </c>
      <c r="F60" s="5" t="inlineStr">
        <is>
          <t>1</t>
        </is>
      </c>
      <c r="G60" s="5" t="inlineStr">
        <is>
          <t>PLAZA DE LA PAZ</t>
        </is>
      </c>
      <c r="H60" s="5" t="n"/>
      <c r="I60" s="5" t="n"/>
      <c r="J60" s="5" t="n"/>
      <c r="K60" s="5" t="n"/>
      <c r="L60" s="6" t="n"/>
      <c r="M60" s="6" t="n"/>
      <c r="N60" s="5" t="n"/>
      <c r="O60" s="7" t="n"/>
      <c r="P60" s="6" t="n"/>
    </row>
    <row r="61" ht="32" customHeight="1">
      <c r="A61" s="5" t="inlineStr">
        <is>
          <t>IUB-PAZ-057</t>
        </is>
      </c>
      <c r="B61" s="5" t="inlineStr">
        <is>
          <t>57</t>
        </is>
      </c>
      <c r="C61" s="6" t="inlineStr">
        <is>
          <t>El Diablo de la Botella</t>
        </is>
      </c>
      <c r="D61" s="6" t="inlineStr">
        <is>
          <t>Robert Louis Stevenson</t>
        </is>
      </c>
      <c r="E61" s="6" t="inlineStr">
        <is>
          <t>Norma</t>
        </is>
      </c>
      <c r="F61" s="5" t="inlineStr">
        <is>
          <t>1</t>
        </is>
      </c>
      <c r="G61" s="5" t="inlineStr">
        <is>
          <t>PLAZA DE LA PAZ</t>
        </is>
      </c>
      <c r="H61" s="5" t="n"/>
      <c r="I61" s="5" t="n"/>
      <c r="J61" s="5" t="n"/>
      <c r="K61" s="5" t="n"/>
      <c r="L61" s="6" t="n"/>
      <c r="M61" s="6" t="n"/>
      <c r="N61" s="5" t="n"/>
      <c r="O61" s="7" t="n"/>
      <c r="P61" s="6" t="n"/>
    </row>
    <row r="62" ht="32" customHeight="1">
      <c r="A62" s="5" t="inlineStr">
        <is>
          <t>IUB-PAZ-058</t>
        </is>
      </c>
      <c r="B62" s="5" t="inlineStr">
        <is>
          <t>58</t>
        </is>
      </c>
      <c r="C62" s="6" t="inlineStr">
        <is>
          <t>Juramneto Gitano</t>
        </is>
      </c>
      <c r="D62" s="6" t="inlineStr">
        <is>
          <t>Marianamatilde Rodriguez Jaime</t>
        </is>
      </c>
      <c r="E62" s="6" t="inlineStr">
        <is>
          <t>Universidad del Norte</t>
        </is>
      </c>
      <c r="F62" s="5" t="inlineStr">
        <is>
          <t>1</t>
        </is>
      </c>
      <c r="G62" s="5" t="inlineStr">
        <is>
          <t>PLAZA DE LA PAZ</t>
        </is>
      </c>
      <c r="H62" s="5" t="n"/>
      <c r="I62" s="5" t="n"/>
      <c r="J62" s="5" t="n"/>
      <c r="K62" s="5" t="n"/>
      <c r="L62" s="6" t="n"/>
      <c r="M62" s="6" t="n"/>
      <c r="N62" s="5" t="n"/>
      <c r="O62" s="7" t="n"/>
      <c r="P62" s="6" t="n"/>
    </row>
    <row r="63" ht="32" customHeight="1">
      <c r="A63" s="5" t="inlineStr">
        <is>
          <t>IUB-PAZ-059</t>
        </is>
      </c>
      <c r="B63" s="5" t="inlineStr">
        <is>
          <t>59</t>
        </is>
      </c>
      <c r="C63" s="6" t="inlineStr">
        <is>
          <t>La Carta, La Pocima y el Tesoro</t>
        </is>
      </c>
      <c r="D63" s="6" t="inlineStr">
        <is>
          <t>N/A</t>
        </is>
      </c>
      <c r="E63" s="6" t="inlineStr">
        <is>
          <t>Universidad Tecnologica de Bolivar</t>
        </is>
      </c>
      <c r="F63" s="5" t="inlineStr">
        <is>
          <t>1</t>
        </is>
      </c>
      <c r="G63" s="5" t="inlineStr">
        <is>
          <t>PLAZA DE LA PAZ</t>
        </is>
      </c>
      <c r="H63" s="5" t="n"/>
      <c r="I63" s="5" t="n"/>
      <c r="J63" s="5" t="n"/>
      <c r="K63" s="5" t="n"/>
      <c r="L63" s="6" t="n"/>
      <c r="M63" s="6" t="n"/>
      <c r="N63" s="5" t="n"/>
      <c r="O63" s="7" t="n"/>
      <c r="P63" s="6" t="n"/>
    </row>
    <row r="64" ht="32" customHeight="1">
      <c r="A64" s="5" t="inlineStr">
        <is>
          <t>IUB-PAZ-060</t>
        </is>
      </c>
      <c r="B64" s="5" t="inlineStr">
        <is>
          <t>60</t>
        </is>
      </c>
      <c r="C64" s="6" t="inlineStr">
        <is>
          <t>Hija de la Fortuna</t>
        </is>
      </c>
      <c r="D64" s="6" t="inlineStr">
        <is>
          <t>Isabel Allende</t>
        </is>
      </c>
      <c r="E64" s="6" t="inlineStr">
        <is>
          <t>Sudamericana</t>
        </is>
      </c>
      <c r="F64" s="5" t="inlineStr">
        <is>
          <t>1</t>
        </is>
      </c>
      <c r="G64" s="5" t="inlineStr">
        <is>
          <t>PLAZA DE LA PAZ</t>
        </is>
      </c>
      <c r="H64" s="5" t="n"/>
      <c r="I64" s="5" t="n"/>
      <c r="J64" s="5" t="n"/>
      <c r="K64" s="5" t="n"/>
      <c r="L64" s="6" t="n"/>
      <c r="M64" s="6" t="n"/>
      <c r="N64" s="5" t="n"/>
      <c r="O64" s="7" t="n"/>
      <c r="P64" s="6" t="n"/>
    </row>
    <row r="65" ht="32" customHeight="1">
      <c r="A65" s="5" t="inlineStr">
        <is>
          <t>IUB-PAZ-061</t>
        </is>
      </c>
      <c r="B65" s="5" t="inlineStr">
        <is>
          <t>61</t>
        </is>
      </c>
      <c r="C65" s="6" t="inlineStr">
        <is>
          <t>La ciudad de mis dolientes</t>
        </is>
      </c>
      <c r="D65" s="6" t="inlineStr">
        <is>
          <t>Adalberto Mieles Gómez</t>
        </is>
      </c>
      <c r="E65" s="6" t="inlineStr">
        <is>
          <t>San Barbara</t>
        </is>
      </c>
      <c r="F65" s="5" t="inlineStr">
        <is>
          <t>1</t>
        </is>
      </c>
      <c r="G65" s="5" t="inlineStr">
        <is>
          <t>PLAZA DE LA PAZ</t>
        </is>
      </c>
      <c r="H65" s="5" t="n"/>
      <c r="I65" s="5" t="n"/>
      <c r="J65" s="5" t="n"/>
      <c r="K65" s="5" t="n"/>
      <c r="L65" s="6" t="n"/>
      <c r="M65" s="6" t="n"/>
      <c r="N65" s="5" t="n"/>
      <c r="O65" s="7" t="n"/>
      <c r="P65" s="6" t="n"/>
    </row>
    <row r="66" ht="32" customHeight="1">
      <c r="A66" s="5" t="inlineStr">
        <is>
          <t>IUB-PAZ-062</t>
        </is>
      </c>
      <c r="B66" s="5" t="inlineStr">
        <is>
          <t>62</t>
        </is>
      </c>
      <c r="C66" s="6" t="inlineStr">
        <is>
          <t>Con el alma en la mano</t>
        </is>
      </c>
      <c r="D66" s="6" t="inlineStr">
        <is>
          <t>Beatriz Perret Gentil</t>
        </is>
      </c>
      <c r="E66" s="6" t="inlineStr">
        <is>
          <t>San Barbara</t>
        </is>
      </c>
      <c r="F66" s="5" t="inlineStr">
        <is>
          <t>1</t>
        </is>
      </c>
      <c r="G66" s="5" t="inlineStr">
        <is>
          <t>PLAZA DE LA PAZ</t>
        </is>
      </c>
      <c r="H66" s="5" t="n"/>
      <c r="I66" s="5" t="n"/>
      <c r="J66" s="5" t="n"/>
      <c r="K66" s="5" t="n"/>
      <c r="L66" s="6" t="n"/>
      <c r="M66" s="6" t="n"/>
      <c r="N66" s="5" t="n"/>
      <c r="O66" s="7" t="n"/>
      <c r="P66" s="6" t="n"/>
    </row>
    <row r="67" ht="32" customHeight="1">
      <c r="A67" s="5" t="inlineStr">
        <is>
          <t>IUB-PAZ-063</t>
        </is>
      </c>
      <c r="B67" s="5" t="inlineStr">
        <is>
          <t>63</t>
        </is>
      </c>
      <c r="C67" s="6" t="inlineStr">
        <is>
          <t>Acompañada, pero a solas con la vida</t>
        </is>
      </c>
      <c r="D67" s="6" t="inlineStr">
        <is>
          <t>Kelly Johana Brewne</t>
        </is>
      </c>
      <c r="E67" s="6" t="inlineStr">
        <is>
          <t>San Barbara</t>
        </is>
      </c>
      <c r="F67" s="5" t="inlineStr">
        <is>
          <t>1</t>
        </is>
      </c>
      <c r="G67" s="5" t="inlineStr">
        <is>
          <t>PLAZA DE LA PAZ</t>
        </is>
      </c>
      <c r="H67" s="5" t="n"/>
      <c r="I67" s="5" t="n"/>
      <c r="J67" s="5" t="n"/>
      <c r="K67" s="5" t="n"/>
      <c r="L67" s="6" t="n"/>
      <c r="M67" s="6" t="n"/>
      <c r="N67" s="5" t="n"/>
      <c r="O67" s="7" t="n"/>
      <c r="P67" s="6" t="n"/>
    </row>
    <row r="68" ht="32" customHeight="1">
      <c r="A68" s="5" t="inlineStr">
        <is>
          <t>IUB-PAZ-064</t>
        </is>
      </c>
      <c r="B68" s="5" t="inlineStr">
        <is>
          <t>64</t>
        </is>
      </c>
      <c r="C68" s="6" t="inlineStr">
        <is>
          <t>La revelacion de la Decima</t>
        </is>
      </c>
      <c r="D68" s="6" t="inlineStr">
        <is>
          <t>Dany Zora Silvera</t>
        </is>
      </c>
      <c r="E68" s="6" t="inlineStr">
        <is>
          <t>San Barbara</t>
        </is>
      </c>
      <c r="F68" s="5" t="inlineStr">
        <is>
          <t>1</t>
        </is>
      </c>
      <c r="G68" s="5" t="inlineStr">
        <is>
          <t>PLAZA DE LA PAZ</t>
        </is>
      </c>
      <c r="H68" s="5" t="n"/>
      <c r="I68" s="5" t="n"/>
      <c r="J68" s="5" t="n"/>
      <c r="K68" s="5" t="n"/>
      <c r="L68" s="6" t="n"/>
      <c r="M68" s="6" t="n"/>
      <c r="N68" s="5" t="n"/>
      <c r="O68" s="7" t="n"/>
      <c r="P68" s="6" t="n"/>
    </row>
    <row r="69" ht="32" customHeight="1">
      <c r="A69" s="5" t="inlineStr">
        <is>
          <t>IUB-PAZ-065</t>
        </is>
      </c>
      <c r="B69" s="5" t="inlineStr">
        <is>
          <t>65</t>
        </is>
      </c>
      <c r="C69" s="6" t="inlineStr">
        <is>
          <t>De Rejas y Amor</t>
        </is>
      </c>
      <c r="D69" s="6" t="inlineStr">
        <is>
          <t>Arturo Barreira Maria</t>
        </is>
      </c>
      <c r="E69" s="6" t="inlineStr">
        <is>
          <t>San Barbara</t>
        </is>
      </c>
      <c r="F69" s="5" t="inlineStr">
        <is>
          <t>1</t>
        </is>
      </c>
      <c r="G69" s="5" t="inlineStr">
        <is>
          <t>PLAZA DE LA PAZ</t>
        </is>
      </c>
      <c r="H69" s="5" t="n"/>
      <c r="I69" s="5" t="n"/>
      <c r="J69" s="5" t="n"/>
      <c r="K69" s="5" t="n"/>
      <c r="L69" s="6" t="n"/>
      <c r="M69" s="6" t="n"/>
      <c r="N69" s="5" t="n"/>
      <c r="O69" s="7" t="n"/>
      <c r="P69" s="6" t="n"/>
    </row>
    <row r="70" ht="32" customHeight="1">
      <c r="A70" s="5" t="inlineStr">
        <is>
          <t>IUB-PAZ-066</t>
        </is>
      </c>
      <c r="B70" s="5" t="inlineStr">
        <is>
          <t>66</t>
        </is>
      </c>
      <c r="C70" s="6" t="inlineStr">
        <is>
          <t>Memorias de un acoso gris</t>
        </is>
      </c>
      <c r="D70" s="6" t="inlineStr">
        <is>
          <t>Carlos Daniel Prieto Urina</t>
        </is>
      </c>
      <c r="E70" s="6" t="inlineStr">
        <is>
          <t>San Barbara</t>
        </is>
      </c>
      <c r="F70" s="5" t="inlineStr">
        <is>
          <t>1</t>
        </is>
      </c>
      <c r="G70" s="5" t="inlineStr">
        <is>
          <t>PLAZA DE LA PAZ</t>
        </is>
      </c>
      <c r="H70" s="5" t="n"/>
      <c r="I70" s="5" t="n"/>
      <c r="J70" s="5" t="n"/>
      <c r="K70" s="5" t="n"/>
      <c r="L70" s="6" t="n"/>
      <c r="M70" s="6" t="n"/>
      <c r="N70" s="5" t="n"/>
      <c r="O70" s="7" t="n"/>
      <c r="P70" s="6" t="n"/>
    </row>
    <row r="71" ht="32" customHeight="1">
      <c r="A71" s="5" t="inlineStr">
        <is>
          <t>IUB-PAZ-067</t>
        </is>
      </c>
      <c r="B71" s="5" t="inlineStr">
        <is>
          <t>67</t>
        </is>
      </c>
      <c r="C71" s="6" t="inlineStr">
        <is>
          <t>Cumbia Soul</t>
        </is>
      </c>
      <c r="D71" s="6" t="inlineStr">
        <is>
          <t>Maria T. Balogh</t>
        </is>
      </c>
      <c r="E71" s="6" t="inlineStr">
        <is>
          <t>Cool Way Press</t>
        </is>
      </c>
      <c r="F71" s="5" t="inlineStr">
        <is>
          <t>1</t>
        </is>
      </c>
      <c r="G71" s="5" t="inlineStr">
        <is>
          <t>PLAZA DE LA PAZ</t>
        </is>
      </c>
      <c r="H71" s="5" t="n"/>
      <c r="I71" s="5" t="n"/>
      <c r="J71" s="5" t="n"/>
      <c r="K71" s="5" t="n"/>
      <c r="L71" s="6" t="n"/>
      <c r="M71" s="6" t="n"/>
      <c r="N71" s="5" t="n"/>
      <c r="O71" s="7" t="n"/>
      <c r="P71" s="6" t="n"/>
    </row>
  </sheetData>
  <mergeCells count="3">
    <mergeCell ref="A1:P1"/>
    <mergeCell ref="A3:P3"/>
    <mergeCell ref="A2:P2"/>
  </mergeCells>
  <conditionalFormatting sqref="H5:H71">
    <cfRule type="expression" priority="1" dxfId="0">
      <formula>$H5="No"</formula>
    </cfRule>
    <cfRule type="expression" priority="2" dxfId="1">
      <formula>$H5="Sí"</formula>
    </cfRule>
    <cfRule type="expression" priority="3" dxfId="2">
      <formula>$H5="Pendiente"</formula>
    </cfRule>
    <cfRule type="expression" priority="4" dxfId="2">
      <formula>LEN(TRIM($H5))=0</formula>
    </cfRule>
  </conditionalFormatting>
  <conditionalFormatting sqref="I5:I71">
    <cfRule type="expression" priority="5" dxfId="0">
      <formula>$I5="Malo"</formula>
    </cfRule>
    <cfRule type="expression" priority="6" dxfId="2">
      <formula>$I5="Regular"</formula>
    </cfRule>
    <cfRule type="expression" priority="7" dxfId="1">
      <formula>$I5="Bueno"</formula>
    </cfRule>
    <cfRule type="expression" priority="8" dxfId="2">
      <formula>$I5="Pendiente"</formula>
    </cfRule>
    <cfRule type="expression" priority="9" dxfId="2">
      <formula>LEN(TRIM($I5))=0</formula>
    </cfRule>
  </conditionalFormatting>
  <conditionalFormatting sqref="J5:J71">
    <cfRule type="expression" priority="10" dxfId="0">
      <formula>$J5="No coincide"</formula>
    </cfRule>
    <cfRule type="expression" priority="11" dxfId="1">
      <formula>$J5="Coincide"</formula>
    </cfRule>
    <cfRule type="expression" priority="12" dxfId="2">
      <formula>$J5="Pendiente"</formula>
    </cfRule>
    <cfRule type="expression" priority="13" dxfId="2">
      <formula>LEN(TRIM($J5))=0</formula>
    </cfRule>
  </conditionalFormatting>
  <conditionalFormatting sqref="K5:K71">
    <cfRule type="expression" priority="14" dxfId="0">
      <formula>$K5="Bloquear"</formula>
    </cfRule>
    <cfRule type="expression" priority="15" dxfId="1">
      <formula>$K5="Habilitar"</formula>
    </cfRule>
    <cfRule type="expression" priority="16" dxfId="2">
      <formula>$K5="Revisar"</formula>
    </cfRule>
    <cfRule type="expression" priority="17" dxfId="2">
      <formula>$K5="Pendiente"</formula>
    </cfRule>
    <cfRule type="expression" priority="18" dxfId="2">
      <formula>LEN(TRIM($K5))=0</formula>
    </cfRule>
  </conditionalFormatting>
  <conditionalFormatting sqref="L5:L71">
    <cfRule type="expression" priority="19" dxfId="0">
      <formula>LEN(TRIM($L5))&gt;0</formula>
    </cfRule>
  </conditionalFormatting>
  <dataValidations count="5">
    <dataValidation sqref="H5:H71" showDropDown="0" showInputMessage="0" showErrorMessage="1" allowBlank="1" errorTitle="Valor no permitido" error="Selecciona uno de los valores de la lista." promptTitle="Presencia física" prompt="Pendiente, Sí o No." type="list">
      <formula1>"Pendiente,Sí,No"</formula1>
    </dataValidation>
    <dataValidation sqref="I5:I71" showDropDown="0" showInputMessage="0" showErrorMessage="1" allowBlank="1" errorTitle="Valor no permitido" error="Selecciona uno de los valores de la lista." promptTitle="Estado físico" prompt="Pendiente, Bueno, Regular o Malo." type="list">
      <formula1>"Pendiente,Bueno,Regular,Malo"</formula1>
    </dataValidation>
    <dataValidation sqref="J5:J71" showDropDown="0" showInputMessage="0" showErrorMessage="1" allowBlank="1" errorTitle="Valor no permitido" error="Selecciona uno de los valores de la lista." promptTitle="Identificación bibliográfica" prompt="Pendiente, Coincide o No coincide." type="list">
      <formula1>"Pendiente,Coincide,No coincide"</formula1>
    </dataValidation>
    <dataValidation sqref="K5:K71" showDropDown="0" showInputMessage="0" showErrorMessage="1" allowBlank="1" errorTitle="Valor no permitido" error="Selecciona uno de los valores de la lista." promptTitle="Disponibilidad propuesta" prompt="Propuesta sujeta a aprobación institucional." type="list">
      <formula1>"Pendiente,Habilitar,Bloquear,Revisar"</formula1>
    </dataValidation>
    <dataValidation sqref="O5:O71" showDropDown="0" showInputMessage="0" showErrorMessage="1" allowBlank="1" errorTitle="Fecha no válida" error="Introduce una fecha entre 2020 y 2100." type="date" operator="between">
      <formula1>DATE(2020,1,1)</formula1>
      <formula2>DATE(2100,12,31)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FFD447"/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45" customWidth="1" min="3" max="3"/>
  </cols>
  <sheetData>
    <row r="1" ht="38" customHeight="1">
      <c r="A1" s="8" t="inlineStr">
        <is>
          <t>RESUMEN DE CONCILIACIÓN</t>
        </is>
      </c>
    </row>
    <row r="2" ht="34" customHeight="1">
      <c r="A2" s="9" t="inlineStr">
        <is>
          <t>Indicadores calculados sobre las 67 filas. Los campos vacíos o “Pendiente” no cuentan como inspección.</t>
        </is>
      </c>
    </row>
    <row r="3">
      <c r="A3" s="10" t="inlineStr">
        <is>
          <t>Indicador</t>
        </is>
      </c>
      <c r="B3" s="10" t="inlineStr">
        <is>
          <t>Valor</t>
        </is>
      </c>
    </row>
    <row r="4" ht="24" customHeight="1">
      <c r="A4" s="11" t="inlineStr">
        <is>
          <t>Total de ejemplares registrados</t>
        </is>
      </c>
      <c r="B4" s="12">
        <f>COUNTA('Conciliación física'!A5:A71)</f>
        <v/>
      </c>
    </row>
    <row r="5" ht="24" customHeight="1">
      <c r="A5" s="11" t="inlineStr">
        <is>
          <t>Ejemplares inspeccionados</t>
        </is>
      </c>
      <c r="B5" s="12">
        <f>COUNTIF('Conciliación física'!H5:H71,"Sí")+COUNTIF('Conciliación física'!H5:H71,"No")</f>
        <v/>
      </c>
    </row>
    <row r="6" ht="24" customHeight="1">
      <c r="A6" s="11" t="inlineStr">
        <is>
          <t>Ejemplares pendientes</t>
        </is>
      </c>
      <c r="B6" s="12">
        <f>B4-B5</f>
        <v/>
      </c>
    </row>
    <row r="7" ht="24" customHeight="1">
      <c r="A7" s="11" t="inlineStr">
        <is>
          <t>Ejemplares encontrados</t>
        </is>
      </c>
      <c r="B7" s="12">
        <f>COUNTIF('Conciliación física'!H5:H71,"Sí")</f>
        <v/>
      </c>
    </row>
    <row r="8" ht="24" customHeight="1">
      <c r="A8" s="11" t="inlineStr">
        <is>
          <t>Ejemplares no encontrados</t>
        </is>
      </c>
      <c r="B8" s="12">
        <f>COUNTIF('Conciliación física'!H5:H71,"No")</f>
        <v/>
      </c>
    </row>
    <row r="9" ht="24" customHeight="1">
      <c r="A9" s="11" t="inlineStr">
        <is>
          <t>Ejemplares con identificación coincidente</t>
        </is>
      </c>
      <c r="B9" s="12">
        <f>COUNTIF('Conciliación física'!J5:J71,"Coincide")</f>
        <v/>
      </c>
    </row>
    <row r="10" ht="24" customHeight="1">
      <c r="A10" s="11" t="inlineStr">
        <is>
          <t>Ejemplares con discrepancias</t>
        </is>
      </c>
      <c r="B10" s="12">
        <f>SUMPRODUCT(--(('Conciliación física'!H5:H71="No")+('Conciliación física'!J5:J71="No coincide")+('Conciliación física'!L5:L71&lt;&gt;"")&gt;0))</f>
        <v/>
      </c>
    </row>
    <row r="11" ht="24" customHeight="1">
      <c r="A11" s="11" t="inlineStr">
        <is>
          <t>Ejemplares en buen estado</t>
        </is>
      </c>
      <c r="B11" s="12">
        <f>COUNTIF('Conciliación física'!I5:I71,"Bueno")</f>
        <v/>
      </c>
    </row>
    <row r="12" ht="24" customHeight="1">
      <c r="A12" s="11" t="inlineStr">
        <is>
          <t>Ejemplares en estado regular</t>
        </is>
      </c>
      <c r="B12" s="12">
        <f>COUNTIF('Conciliación física'!I5:I71,"Regular")</f>
        <v/>
      </c>
    </row>
    <row r="13" ht="24" customHeight="1">
      <c r="A13" s="11" t="inlineStr">
        <is>
          <t>Ejemplares en mal estado</t>
        </is>
      </c>
      <c r="B13" s="12">
        <f>COUNTIF('Conciliación física'!I5:I71,"Malo")</f>
        <v/>
      </c>
    </row>
    <row r="14" ht="24" customHeight="1">
      <c r="A14" s="11" t="inlineStr">
        <is>
          <t>Propuestas de habilitación</t>
        </is>
      </c>
      <c r="B14" s="12">
        <f>COUNTIF('Conciliación física'!K5:K71,"Habilitar")</f>
        <v/>
      </c>
    </row>
    <row r="15" ht="24" customHeight="1">
      <c r="A15" s="11" t="inlineStr">
        <is>
          <t>Propuestas de bloqueo</t>
        </is>
      </c>
      <c r="B15" s="12">
        <f>COUNTIF('Conciliación física'!K5:K71,"Bloquear")</f>
        <v/>
      </c>
    </row>
    <row r="16" ht="24" customHeight="1">
      <c r="A16" s="11" t="inlineStr">
        <is>
          <t>Casos pendientes de decisión</t>
        </is>
      </c>
      <c r="B16" s="12">
        <f>COUNTBLANK('Conciliación física'!K5:K71)+COUNTIF('Conciliación física'!K5:K71,"Pendiente")+COUNTIF('Conciliación física'!K5:K71,"Revisar")</f>
        <v/>
      </c>
    </row>
    <row r="17" ht="24" customHeight="1">
      <c r="A17" s="11" t="inlineStr">
        <is>
          <t>Incidencias abiertas o en revisión</t>
        </is>
      </c>
      <c r="B17" s="12">
        <f>COUNTIF(Incidencias!G5:G24,"Abierta")+COUNTIF(Incidencias!G5:G24,"En revisión")</f>
        <v/>
      </c>
    </row>
    <row r="20" ht="42" customHeight="1">
      <c r="A20" s="13" t="inlineStr">
        <is>
          <t>Regla: “Pendiente” y las celdas vacías no son resultados confirmados. “Habilitar” es una propuesta, no una autorización.</t>
        </is>
      </c>
    </row>
    <row r="22" ht="24" customHeight="1">
      <c r="A22" s="14" t="inlineStr">
        <is>
          <t>Fuente</t>
        </is>
      </c>
      <c r="B22" s="15" t="inlineStr">
        <is>
          <t>INVENTARIO TRUEQUE.xlsx · Hoja1</t>
        </is>
      </c>
    </row>
    <row r="23" ht="24" customHeight="1">
      <c r="A23" s="14" t="inlineStr">
        <is>
          <t>SHA-256</t>
        </is>
      </c>
      <c r="B23" s="15" t="inlineStr">
        <is>
          <t>86d6602a23aa6d95045c5a40eece9c3dd3ce14e7349adf59e19ce37110bd846d</t>
        </is>
      </c>
    </row>
    <row r="24" ht="24" customHeight="1">
      <c r="A24" s="14" t="inlineStr">
        <is>
          <t>Base local</t>
        </is>
      </c>
      <c r="B24" s="15" t="inlineStr">
        <is>
          <t>iub_local · importación 0006</t>
        </is>
      </c>
    </row>
    <row r="25" ht="24" customHeight="1">
      <c r="A25" s="14" t="inlineStr">
        <is>
          <t>Nota</t>
        </is>
      </c>
      <c r="B25" s="15" t="inlineStr">
        <is>
          <t>Una habilitación definitiva requiere aprobación institucional y no se aplica desde este archivo.</t>
        </is>
      </c>
    </row>
  </sheetData>
  <mergeCells count="3">
    <mergeCell ref="A1:C1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3226"/>
    <outlinePr summaryBelow="1" summaryRight="1"/>
    <pageSetUpPr fitToPage="1"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0" customWidth="1" min="4" max="4"/>
    <col width="22" customWidth="1" min="5" max="5"/>
    <col width="16" customWidth="1" min="6" max="6"/>
    <col width="22" customWidth="1" min="7" max="7"/>
    <col width="35" customWidth="1" min="8" max="8"/>
    <col width="28" customWidth="1" min="9" max="9"/>
  </cols>
  <sheetData>
    <row r="1" ht="38" customHeight="1">
      <c r="A1" s="1" t="inlineStr">
        <is>
          <t>CONCILIACIÓN FÍSICA DEL INVENTARIO</t>
        </is>
      </c>
    </row>
    <row r="2" ht="24" customHeight="1">
      <c r="A2" s="2" t="inlineStr">
        <is>
          <t>Registro de hallazgos, evidencias, responsables y resolución aprobada</t>
        </is>
      </c>
    </row>
    <row r="3" ht="22" customHeight="1">
      <c r="A3" s="3" t="inlineStr">
        <is>
          <t>Documento interno de verificación · No es una autorización de habilitación · No modifica el inventario maestro</t>
        </is>
      </c>
    </row>
    <row r="4" ht="34" customHeight="1">
      <c r="A4" s="4" t="inlineStr">
        <is>
          <t>Código institucional</t>
        </is>
      </c>
      <c r="B4" s="4" t="inlineStr">
        <is>
          <t>Tipo de incidencia</t>
        </is>
      </c>
      <c r="C4" s="4" t="inlineStr">
        <is>
          <t>Descripción</t>
        </is>
      </c>
      <c r="D4" s="4" t="inlineStr">
        <is>
          <t>Evidencia / referencia</t>
        </is>
      </c>
      <c r="E4" s="4" t="inlineStr">
        <is>
          <t>Responsable</t>
        </is>
      </c>
      <c r="F4" s="4" t="inlineStr">
        <is>
          <t>Fecha</t>
        </is>
      </c>
      <c r="G4" s="4" t="inlineStr">
        <is>
          <t>Estado de resolución</t>
        </is>
      </c>
      <c r="H4" s="4" t="inlineStr">
        <is>
          <t>Resolución aprobada</t>
        </is>
      </c>
      <c r="I4" s="4" t="inlineStr">
        <is>
          <t>Observaciones</t>
        </is>
      </c>
    </row>
    <row r="5" ht="28" customHeight="1">
      <c r="A5" s="5" t="n"/>
      <c r="B5" s="5" t="n"/>
      <c r="C5" s="6" t="n"/>
      <c r="D5" s="6" t="n"/>
      <c r="E5" s="5" t="n"/>
      <c r="F5" s="16" t="n"/>
      <c r="G5" s="5" t="n"/>
      <c r="H5" s="6" t="n"/>
      <c r="I5" s="6" t="n"/>
    </row>
    <row r="6" ht="28" customHeight="1">
      <c r="A6" s="5" t="n"/>
      <c r="B6" s="5" t="n"/>
      <c r="C6" s="6" t="n"/>
      <c r="D6" s="6" t="n"/>
      <c r="E6" s="5" t="n"/>
      <c r="F6" s="16" t="n"/>
      <c r="G6" s="5" t="n"/>
      <c r="H6" s="6" t="n"/>
      <c r="I6" s="6" t="n"/>
    </row>
    <row r="7" ht="28" customHeight="1">
      <c r="A7" s="5" t="n"/>
      <c r="B7" s="5" t="n"/>
      <c r="C7" s="6" t="n"/>
      <c r="D7" s="6" t="n"/>
      <c r="E7" s="5" t="n"/>
      <c r="F7" s="16" t="n"/>
      <c r="G7" s="5" t="n"/>
      <c r="H7" s="6" t="n"/>
      <c r="I7" s="6" t="n"/>
    </row>
    <row r="8" ht="28" customHeight="1">
      <c r="A8" s="5" t="n"/>
      <c r="B8" s="5" t="n"/>
      <c r="C8" s="6" t="n"/>
      <c r="D8" s="6" t="n"/>
      <c r="E8" s="5" t="n"/>
      <c r="F8" s="16" t="n"/>
      <c r="G8" s="5" t="n"/>
      <c r="H8" s="6" t="n"/>
      <c r="I8" s="6" t="n"/>
    </row>
    <row r="9" ht="28" customHeight="1">
      <c r="A9" s="5" t="n"/>
      <c r="B9" s="5" t="n"/>
      <c r="C9" s="6" t="n"/>
      <c r="D9" s="6" t="n"/>
      <c r="E9" s="5" t="n"/>
      <c r="F9" s="16" t="n"/>
      <c r="G9" s="5" t="n"/>
      <c r="H9" s="6" t="n"/>
      <c r="I9" s="6" t="n"/>
    </row>
    <row r="10" ht="28" customHeight="1">
      <c r="A10" s="5" t="n"/>
      <c r="B10" s="5" t="n"/>
      <c r="C10" s="6" t="n"/>
      <c r="D10" s="6" t="n"/>
      <c r="E10" s="5" t="n"/>
      <c r="F10" s="16" t="n"/>
      <c r="G10" s="5" t="n"/>
      <c r="H10" s="6" t="n"/>
      <c r="I10" s="6" t="n"/>
    </row>
    <row r="11" ht="28" customHeight="1">
      <c r="A11" s="5" t="n"/>
      <c r="B11" s="5" t="n"/>
      <c r="C11" s="6" t="n"/>
      <c r="D11" s="6" t="n"/>
      <c r="E11" s="5" t="n"/>
      <c r="F11" s="16" t="n"/>
      <c r="G11" s="5" t="n"/>
      <c r="H11" s="6" t="n"/>
      <c r="I11" s="6" t="n"/>
    </row>
    <row r="12" ht="28" customHeight="1">
      <c r="A12" s="5" t="n"/>
      <c r="B12" s="5" t="n"/>
      <c r="C12" s="6" t="n"/>
      <c r="D12" s="6" t="n"/>
      <c r="E12" s="5" t="n"/>
      <c r="F12" s="16" t="n"/>
      <c r="G12" s="5" t="n"/>
      <c r="H12" s="6" t="n"/>
      <c r="I12" s="6" t="n"/>
    </row>
    <row r="13" ht="28" customHeight="1">
      <c r="A13" s="5" t="n"/>
      <c r="B13" s="5" t="n"/>
      <c r="C13" s="6" t="n"/>
      <c r="D13" s="6" t="n"/>
      <c r="E13" s="5" t="n"/>
      <c r="F13" s="16" t="n"/>
      <c r="G13" s="5" t="n"/>
      <c r="H13" s="6" t="n"/>
      <c r="I13" s="6" t="n"/>
    </row>
    <row r="14" ht="28" customHeight="1">
      <c r="A14" s="5" t="n"/>
      <c r="B14" s="5" t="n"/>
      <c r="C14" s="6" t="n"/>
      <c r="D14" s="6" t="n"/>
      <c r="E14" s="5" t="n"/>
      <c r="F14" s="16" t="n"/>
      <c r="G14" s="5" t="n"/>
      <c r="H14" s="6" t="n"/>
      <c r="I14" s="6" t="n"/>
    </row>
    <row r="15" ht="28" customHeight="1">
      <c r="A15" s="5" t="n"/>
      <c r="B15" s="5" t="n"/>
      <c r="C15" s="6" t="n"/>
      <c r="D15" s="6" t="n"/>
      <c r="E15" s="5" t="n"/>
      <c r="F15" s="16" t="n"/>
      <c r="G15" s="5" t="n"/>
      <c r="H15" s="6" t="n"/>
      <c r="I15" s="6" t="n"/>
    </row>
    <row r="16" ht="28" customHeight="1">
      <c r="A16" s="5" t="n"/>
      <c r="B16" s="5" t="n"/>
      <c r="C16" s="6" t="n"/>
      <c r="D16" s="6" t="n"/>
      <c r="E16" s="5" t="n"/>
      <c r="F16" s="16" t="n"/>
      <c r="G16" s="5" t="n"/>
      <c r="H16" s="6" t="n"/>
      <c r="I16" s="6" t="n"/>
    </row>
    <row r="17" ht="28" customHeight="1">
      <c r="A17" s="5" t="n"/>
      <c r="B17" s="5" t="n"/>
      <c r="C17" s="6" t="n"/>
      <c r="D17" s="6" t="n"/>
      <c r="E17" s="5" t="n"/>
      <c r="F17" s="16" t="n"/>
      <c r="G17" s="5" t="n"/>
      <c r="H17" s="6" t="n"/>
      <c r="I17" s="6" t="n"/>
    </row>
    <row r="18" ht="28" customHeight="1">
      <c r="A18" s="5" t="n"/>
      <c r="B18" s="5" t="n"/>
      <c r="C18" s="6" t="n"/>
      <c r="D18" s="6" t="n"/>
      <c r="E18" s="5" t="n"/>
      <c r="F18" s="16" t="n"/>
      <c r="G18" s="5" t="n"/>
      <c r="H18" s="6" t="n"/>
      <c r="I18" s="6" t="n"/>
    </row>
    <row r="19" ht="28" customHeight="1">
      <c r="A19" s="5" t="n"/>
      <c r="B19" s="5" t="n"/>
      <c r="C19" s="6" t="n"/>
      <c r="D19" s="6" t="n"/>
      <c r="E19" s="5" t="n"/>
      <c r="F19" s="16" t="n"/>
      <c r="G19" s="5" t="n"/>
      <c r="H19" s="6" t="n"/>
      <c r="I19" s="6" t="n"/>
    </row>
    <row r="20" ht="28" customHeight="1">
      <c r="A20" s="5" t="n"/>
      <c r="B20" s="5" t="n"/>
      <c r="C20" s="6" t="n"/>
      <c r="D20" s="6" t="n"/>
      <c r="E20" s="5" t="n"/>
      <c r="F20" s="16" t="n"/>
      <c r="G20" s="5" t="n"/>
      <c r="H20" s="6" t="n"/>
      <c r="I20" s="6" t="n"/>
    </row>
    <row r="21" ht="28" customHeight="1">
      <c r="A21" s="5" t="n"/>
      <c r="B21" s="5" t="n"/>
      <c r="C21" s="6" t="n"/>
      <c r="D21" s="6" t="n"/>
      <c r="E21" s="5" t="n"/>
      <c r="F21" s="16" t="n"/>
      <c r="G21" s="5" t="n"/>
      <c r="H21" s="6" t="n"/>
      <c r="I21" s="6" t="n"/>
    </row>
    <row r="22" ht="28" customHeight="1">
      <c r="A22" s="5" t="n"/>
      <c r="B22" s="5" t="n"/>
      <c r="C22" s="6" t="n"/>
      <c r="D22" s="6" t="n"/>
      <c r="E22" s="5" t="n"/>
      <c r="F22" s="16" t="n"/>
      <c r="G22" s="5" t="n"/>
      <c r="H22" s="6" t="n"/>
      <c r="I22" s="6" t="n"/>
    </row>
    <row r="23" ht="28" customHeight="1">
      <c r="A23" s="5" t="n"/>
      <c r="B23" s="5" t="n"/>
      <c r="C23" s="6" t="n"/>
      <c r="D23" s="6" t="n"/>
      <c r="E23" s="5" t="n"/>
      <c r="F23" s="16" t="n"/>
      <c r="G23" s="5" t="n"/>
      <c r="H23" s="6" t="n"/>
      <c r="I23" s="6" t="n"/>
    </row>
    <row r="24" ht="28" customHeight="1">
      <c r="A24" s="5" t="n"/>
      <c r="B24" s="5" t="n"/>
      <c r="C24" s="6" t="n"/>
      <c r="D24" s="6" t="n"/>
      <c r="E24" s="5" t="n"/>
      <c r="F24" s="16" t="n"/>
      <c r="G24" s="5" t="n"/>
      <c r="H24" s="6" t="n"/>
      <c r="I24" s="6" t="n"/>
    </row>
  </sheetData>
  <mergeCells count="3">
    <mergeCell ref="A1:I1"/>
    <mergeCell ref="A3:I3"/>
    <mergeCell ref="A2:I2"/>
  </mergeCells>
  <conditionalFormatting sqref="G5:G24">
    <cfRule type="expression" priority="1" dxfId="1">
      <formula>$G5="Resuelta"</formula>
    </cfRule>
    <cfRule type="expression" priority="2" dxfId="0">
      <formula>$G5="Abierta"</formula>
    </cfRule>
    <cfRule type="expression" priority="3" dxfId="2">
      <formula>$G5="En revisión"</formula>
    </cfRule>
    <cfRule type="expression" priority="4" dxfId="3">
      <formula>LEN(TRIM($G5))=0</formula>
    </cfRule>
  </conditionalFormatting>
  <dataValidations count="3">
    <dataValidation sqref="B5:B24" showDropDown="0" showInputMessage="0" showErrorMessage="1" allowBlank="1" errorTitle="Valor no permitido" error="Selecciona uno de los valores de la lista." promptTitle="Tipo de incidencia" prompt="Clasifica el hallazgo." type="list">
      <formula1>"Presencia física,Estado físico,Identificación bibliográfica,Disponibilidad,Datos maestros,Otro"</formula1>
    </dataValidation>
    <dataValidation sqref="G5:G24" showDropDown="0" showInputMessage="0" showErrorMessage="1" allowBlank="1" errorTitle="Valor no permitido" error="Selecciona uno de los valores de la lista." promptTitle="Estado de resolución" prompt="Abierta, En revisión, Resuelta o Rechazada." type="list">
      <formula1>"Abierta,En revisión,Resuelta,Rechazada"</formula1>
    </dataValidation>
    <dataValidation sqref="F5:F24" showDropDown="0" showInputMessage="0" showErrorMessage="1" allowBlank="1" errorTitle="Fecha no válida" error="Introduce una fecha entre 2020 y 2100." type="date" operator="between">
      <formula1>DATE(2020,1,1)</formula1>
      <formula2>DATE(2100,12,31)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0386F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8" customHeight="1">
      <c r="A1" s="8" t="inlineStr">
        <is>
          <t>INSTRUCCIONES DE CONCILIACIÓN FÍSICA</t>
        </is>
      </c>
    </row>
    <row r="2" ht="26" customHeight="1">
      <c r="A2" s="17" t="inlineStr">
        <is>
          <t>Trueque IUB · Sede Plaza de la Paz · 67 ejemplares precargados · documento interno</t>
        </is>
      </c>
    </row>
    <row r="4" ht="26" customHeight="1">
      <c r="A4" s="18" t="inlineStr">
        <is>
          <t>1. Objetivo</t>
        </is>
      </c>
    </row>
    <row r="5" ht="34" customHeight="1">
      <c r="A5" s="19" t="inlineStr">
        <is>
          <t>• Verificar físicamente cada ejemplar institucional y documentar si existe, su estado, la coincidencia bibliográfica y una propuesta de disponibilidad.</t>
        </is>
      </c>
    </row>
    <row r="6" ht="34" customHeight="1">
      <c r="A6" s="19" t="inlineStr">
        <is>
          <t>• La plantilla no modifica el inventario maestro, no cambia la base de datos y no autoriza por sí sola la habilitación en el catálogo.</t>
        </is>
      </c>
    </row>
    <row r="8" ht="26" customHeight="1">
      <c r="A8" s="18" t="inlineStr">
        <is>
          <t>2. Cómo usarla</t>
        </is>
      </c>
    </row>
    <row r="9" ht="34" customHeight="1">
      <c r="A9" s="19" t="inlineStr">
        <is>
          <t>• Trabaja en la hoja “Conciliación física”, una fila por ejemplar. No elimines ni reordenes ejemplares; los títulos repetidos representan ejemplares distintos.</t>
        </is>
      </c>
    </row>
    <row r="10" ht="34" customHeight="1">
      <c r="A10" s="19" t="inlineStr">
        <is>
          <t>• Completa Presencia física, Estado físico, Identificación bibliográfica y Disponibilidad propuesta usando las listas desplegables.</t>
        </is>
      </c>
    </row>
    <row r="11" ht="34" customHeight="1">
      <c r="A11" s="19" t="inlineStr">
        <is>
          <t>• Registra Responsable y Fecha cuando marques un resultado. Si hay una discrepancia, usa la hoja “Incidencias” y documenta evidencia.</t>
        </is>
      </c>
    </row>
    <row r="12" ht="34" customHeight="1">
      <c r="A12" s="19" t="inlineStr">
        <is>
          <t>• No marques “Sí”, “Coincide” o “Habilitar” sin verificación humana. “Pendiente” y las celdas vacías no cuentan como inspección.</t>
        </is>
      </c>
    </row>
    <row r="14" ht="26" customHeight="1">
      <c r="A14" s="18" t="inlineStr">
        <is>
          <t>3. Estados</t>
        </is>
      </c>
    </row>
    <row r="15" ht="34" customHeight="1">
      <c r="A15" s="19" t="inlineStr">
        <is>
          <t>• Presencia: Pendiente / Sí / No.</t>
        </is>
      </c>
    </row>
    <row r="16" ht="34" customHeight="1">
      <c r="A16" s="19" t="inlineStr">
        <is>
          <t>• Estado: Pendiente / Bueno / Regular / Malo.</t>
        </is>
      </c>
    </row>
    <row r="17" ht="34" customHeight="1">
      <c r="A17" s="19" t="inlineStr">
        <is>
          <t>• Identificación: Pendiente / Coincide / No coincide.</t>
        </is>
      </c>
    </row>
    <row r="18" ht="34" customHeight="1">
      <c r="A18" s="19" t="inlineStr">
        <is>
          <t>• Disponibilidad propuesta: Pendiente / Habilitar / Bloquear / Revisar.</t>
        </is>
      </c>
    </row>
    <row r="19" ht="34" customHeight="1">
      <c r="A19" s="19" t="inlineStr">
        <is>
          <t>• Habilitar es una recomendación; Bloquear y Revisar requieren acción institucional.</t>
        </is>
      </c>
    </row>
    <row r="21" ht="26" customHeight="1">
      <c r="A21" s="18" t="inlineStr">
        <is>
          <t>4. Datos de origen</t>
        </is>
      </c>
    </row>
    <row r="22" ht="34" customHeight="1">
      <c r="A22" s="19" t="inlineStr">
        <is>
          <t>• Código institucional: IUB-PAZ-001 a IUB-PAZ-067, derivado del número fuente del Excel.</t>
        </is>
      </c>
    </row>
    <row r="23" ht="34" customHeight="1">
      <c r="A23" s="19" t="inlineStr">
        <is>
          <t>• Se conservan títulos, autores, editoriales, números de ejemplar y la ubicación PLAZA DE LA PAZ.</t>
        </is>
      </c>
    </row>
    <row r="24" ht="34" customHeight="1">
      <c r="A24" s="19" t="inlineStr">
        <is>
          <t>• Los valores N/A y N/E se conservan como aparecen en la fuente; una corrección solo puede registrarse como incidencia aprobada.</t>
        </is>
      </c>
    </row>
    <row r="25" ht="34" customHeight="1">
      <c r="A25" s="19" t="inlineStr">
        <is>
          <t>• No se inventaron ISBN. Los registros bibliográficos no son ejemplares físicos.</t>
        </is>
      </c>
    </row>
    <row r="27" ht="26" customHeight="1">
      <c r="A27" s="18" t="inlineStr">
        <is>
          <t>5. Cierre</t>
        </is>
      </c>
    </row>
    <row r="28" ht="34" customHeight="1">
      <c r="A28" s="19" t="inlineStr">
        <is>
          <t>• Una propuesta de habilitación no es una autorización. La habilitación definitiva requiere aprobación institucional y una actualización controlada de la base.</t>
        </is>
      </c>
    </row>
    <row r="29" ht="34" customHeight="1">
      <c r="A29" s="19" t="inlineStr">
        <is>
          <t>• Conserva este archivo como evidencia de la conciliación. No sobrescribas el inventario original.</t>
        </is>
      </c>
    </row>
    <row r="31">
      <c r="A31" s="20" t="inlineStr">
        <is>
          <t>Fuente: INVENTARIO TRUEQUE.xlsx · Hoja1 · SHA-256: 86d6602a23aa6d95045c5a40eece9c3dd3ce14e7349adf59e19ce37110bd846d</t>
        </is>
      </c>
    </row>
  </sheetData>
  <mergeCells count="25">
    <mergeCell ref="A16:F16"/>
    <mergeCell ref="A27:F27"/>
    <mergeCell ref="A12:F12"/>
    <mergeCell ref="A18:F18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9:F29"/>
    <mergeCell ref="A10:F10"/>
    <mergeCell ref="A28:F28"/>
    <mergeCell ref="A19:F19"/>
    <mergeCell ref="A9:F9"/>
    <mergeCell ref="A31:F31"/>
    <mergeCell ref="A15:F15"/>
    <mergeCell ref="A24:F24"/>
    <mergeCell ref="A11:F11"/>
    <mergeCell ref="A1:F1"/>
    <mergeCell ref="A6:F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Trueque IUB</dc:creator>
  <dc:title xmlns:dc="http://purl.org/dc/elements/1.1/">Conciliación física del inventario institucional · Trueque IUB</dc:title>
  <dc:subject xmlns:dc="http://purl.org/dc/elements/1.1/">Verificación física de ejemplares · Plaza de la Paz</dc:subject>
  <dcterms:created xmlns:dcterms="http://purl.org/dc/terms/" xmlns:xsi="http://www.w3.org/2001/XMLSchema-instance" xsi:type="dcterms:W3CDTF">2026-10-29T00:23:39Z</dcterms:created>
  <dcterms:modified xmlns:dcterms="http://purl.org/dc/terms/" xmlns:xsi="http://www.w3.org/2001/XMLSchema-instance" xsi:type="dcterms:W3CDTF">2026-10-29T00:23:39Z</dcterms:modified>
</cp:coreProperties>
</file>