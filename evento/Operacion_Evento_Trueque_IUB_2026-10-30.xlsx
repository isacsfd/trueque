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Recepcion" sheetId="3" state="visible" r:id="rId3"/>
    <sheet xmlns:r="http://schemas.openxmlformats.org/officeDocument/2006/relationships" name="Bibliografico" sheetId="4" state="visible" r:id="rId4"/>
    <sheet xmlns:r="http://schemas.openxmlformats.org/officeDocument/2006/relationships" name="Duplicados" sheetId="5" state="visible" r:id="rId5"/>
    <sheet xmlns:r="http://schemas.openxmlformats.org/officeDocument/2006/relationships" name="Intercambios" sheetId="6" state="visible" r:id="rId6"/>
    <sheet xmlns:r="http://schemas.openxmlformats.org/officeDocument/2006/relationships" name="Resumen" sheetId="7" state="visible" r:id="rId7"/>
  </sheets>
  <definedNames>
    <definedName name="_xlnm._FilterDatabase" localSheetId="1" hidden="1">'Catalogo'!$A$1:$T$85</definedName>
    <definedName name="_xlnm._FilterDatabase" localSheetId="2" hidden="1">'Recepcion'!$A$1:$I$85</definedName>
    <definedName name="_xlnm._FilterDatabase" localSheetId="3" hidden="1">'Bibliografico'!$A$1:$I$75</definedName>
    <definedName name="_xlnm._FilterDatabase" localSheetId="4" hidden="1">'Duplicados'!$A$1:$G$11</definedName>
    <definedName name="_xlnm._FilterDatabase" localSheetId="5" hidden="1">'Intercambios'!$A$3:$J$103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B2447"/>
      <sz val="18"/>
    </font>
    <font>
      <i val="1"/>
      <color rgb="005D6678"/>
      <sz val="10"/>
    </font>
    <font>
      <b val="1"/>
      <color rgb="000B2447"/>
      <sz val="11"/>
    </font>
    <font>
      <b val="1"/>
      <color rgb="009C0006"/>
    </font>
    <font>
      <b val="1"/>
      <color rgb="00FFFFFF"/>
      <sz val="10"/>
    </font>
    <font>
      <b val="1"/>
      <color rgb="000B2447"/>
      <sz val="16"/>
    </font>
    <font>
      <b val="1"/>
      <color rgb="000B2447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2335F"/>
      </patternFill>
    </fill>
    <fill>
      <patternFill patternType="solid">
        <fgColor rgb="00C9A34A"/>
      </patternFill>
    </fill>
    <fill>
      <patternFill patternType="solid">
        <fgColor rgb="00FFF2CC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25" customWidth="1" min="4" max="4"/>
  </cols>
  <sheetData>
    <row r="1" ht="34" customHeight="1">
      <c r="A1" s="1" t="inlineStr">
        <is>
          <t>TRUEQUE IUB · OPERACIÓN DEL EVENTO 30 DE OCTUBRE</t>
        </is>
      </c>
    </row>
    <row r="2" ht="42" customHeight="1">
      <c r="A2" s="2" t="inlineStr">
        <is>
          <t>Catálogo consolidado de los dos Excel + control de recepción + intercambio 1:1. Los ejemplares NO están disponibles hasta marcarlos PRESENTES y ACEPTADOS.</t>
        </is>
      </c>
    </row>
    <row r="4" ht="44" customHeight="1">
      <c r="A4" s="3" t="inlineStr">
        <is>
          <t>1. Antes de abrir</t>
        </is>
      </c>
      <c r="B4" s="4" t="inlineStr">
        <is>
          <t>Guarda una copia de este archivo con la fecha del evento. No borres ni sobrescribas los Excel originales.</t>
        </is>
      </c>
    </row>
    <row r="5" ht="44" customHeight="1">
      <c r="A5" s="3" t="inlineStr">
        <is>
          <t>2. Recepción del libro</t>
        </is>
      </c>
      <c r="B5" s="4" t="inlineStr">
        <is>
          <t>En la hoja Recepcion busca el ID del ejemplar. Marca PRESENTE = SÍ solo si el libro está físicamente en la mesa. Marca ACEPTADO = ACEPTADO o RECHAZADO. Registra estado físico, responsable, hora y observaciones.</t>
        </is>
      </c>
    </row>
    <row r="6" ht="44" customHeight="1">
      <c r="A6" s="3" t="inlineStr">
        <is>
          <t>3. Disponibilidad</t>
        </is>
      </c>
      <c r="B6" s="4" t="inlineStr">
        <is>
          <t>Un ejemplar solo pasa a DISPONIBLE cuando Recepcion tiene PRESENTE = SÍ y ACEPTADO = ACEPTADO. Si no está presente, queda NO_PRESENTE. Si se rechaza, queda RECHAZADO y se devuelve al participante.</t>
        </is>
      </c>
    </row>
    <row r="7" ht="44" customHeight="1">
      <c r="A7" s="3" t="inlineStr">
        <is>
          <t>4. Intercambio 1:1</t>
        </is>
      </c>
      <c r="B7" s="4" t="inlineStr">
        <is>
          <t>En Intercambios registra el ID del libro aportado y el ID del libro entregado. Ambos deben estar DISPONIBLES y ser diferentes. La columna VALIDACION debe decir VÁLIDO. Si dice ERROR, no entregues nada.</t>
        </is>
      </c>
    </row>
    <row r="8" ht="44" customHeight="1">
      <c r="A8" s="3" t="inlineStr">
        <is>
          <t>5. Comprobante</t>
        </is>
      </c>
      <c r="B8" s="4" t="inlineStr">
        <is>
          <t>Cuando VALIDACION sea VÁLIDO, el número de operación aparece en COMPROBANTE. Imprime o anota ese número. El catálogo mostrará ambos ejemplares como INTERCAMBIADO.</t>
        </is>
      </c>
    </row>
    <row r="9" ht="44" customHeight="1">
      <c r="A9" s="3" t="inlineStr">
        <is>
          <t>6. Anulación / recuperación</t>
        </is>
      </c>
      <c r="B9" s="4" t="inlineStr">
        <is>
          <t>Si hubo un error, cambia ESTADO de la operación a ANULADO. No borres la fila. Los ejemplares vuelven a quedar disponibles y la operación conserva el historial.</t>
        </is>
      </c>
    </row>
    <row r="10" ht="44" customHeight="1">
      <c r="A10" s="3" t="inlineStr">
        <is>
          <t>7. Duplicados</t>
        </is>
      </c>
      <c r="B10" s="4" t="inlineStr">
        <is>
          <t>La hoja Duplicados marca libros repetidos dentro del mismo Excel o entre los dos Excel. No los elimines automáticamente. Verifica físicamente si son ejemplares distintos. Si es el mismo libro, recibe y marca solo uno.</t>
        </is>
      </c>
    </row>
    <row r="11" ht="44" customHeight="1">
      <c r="A11" s="3" t="inlineStr">
        <is>
          <t>8. Respaldo</t>
        </is>
      </c>
      <c r="B11" s="4" t="inlineStr">
        <is>
          <t>Guarda el archivo después de cada operación. Al cierre, exporta una copia y entrégala al responsable. No subas este archivo a la web pública ni compartas datos de participantes.</t>
        </is>
      </c>
    </row>
    <row r="13">
      <c r="A13" s="5" t="inlineStr">
        <is>
          <t>Regla de oro: si no está verificado físicamente, no está disponible. Si VALIDACION no dice VÁLIDO, no se entrega.</t>
        </is>
      </c>
    </row>
  </sheetData>
  <mergeCells count="11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30" customWidth="1" min="4" max="4"/>
    <col width="22" customWidth="1" min="5" max="5"/>
    <col width="15" customWidth="1" min="6" max="6"/>
    <col width="14" customWidth="1" min="7" max="7"/>
    <col width="13" customWidth="1" min="8" max="8"/>
    <col width="34" customWidth="1" min="9" max="9"/>
    <col width="10" customWidth="1" min="10" max="10"/>
    <col width="9" customWidth="1" min="11" max="11"/>
    <col width="10" customWidth="1" min="12" max="12"/>
    <col width="40" customWidth="1" min="13" max="13"/>
    <col width="30" customWidth="1" min="14" max="14"/>
    <col width="24" customWidth="1" min="15" max="15"/>
    <col width="12" customWidth="1" min="16" max="16"/>
    <col width="18" customWidth="1" min="17" max="17"/>
    <col width="20" customWidth="1" min="18" max="18"/>
    <col width="18" customWidth="1" min="19" max="19"/>
    <col width="24" customWidth="1" min="20" max="20"/>
  </cols>
  <sheetData>
    <row r="1" ht="30" customHeight="1">
      <c r="A1" s="6" t="inlineStr">
        <is>
          <t>ID_EJEMPLAR</t>
        </is>
      </c>
      <c r="B1" s="6" t="inlineStr">
        <is>
          <t>ID_BIBLIOGRAFICO</t>
        </is>
      </c>
      <c r="C1" s="6" t="inlineStr">
        <is>
          <t>TITULO</t>
        </is>
      </c>
      <c r="D1" s="6" t="inlineStr">
        <is>
          <t>AUTOR</t>
        </is>
      </c>
      <c r="E1" s="6" t="inlineStr">
        <is>
          <t>EDITORIAL</t>
        </is>
      </c>
      <c r="F1" s="6" t="inlineStr">
        <is>
          <t>ISBN</t>
        </is>
      </c>
      <c r="G1" s="6" t="inlineStr">
        <is>
          <t>CODIGO_EJEMPLAR</t>
        </is>
      </c>
      <c r="H1" s="6" t="inlineStr">
        <is>
          <t>CODIGO_FUENTE</t>
        </is>
      </c>
      <c r="I1" s="6" t="inlineStr">
        <is>
          <t>PROCEDENCIA</t>
        </is>
      </c>
      <c r="J1" s="6" t="inlineStr">
        <is>
          <t>FILA_ORIGEN</t>
        </is>
      </c>
      <c r="K1" s="6" t="inlineStr">
        <is>
          <t>NO_ORIGEN</t>
        </is>
      </c>
      <c r="L1" s="6" t="inlineStr">
        <is>
          <t>EJEMPLAR_ORIGEN</t>
        </is>
      </c>
      <c r="M1" s="6" t="inlineStr">
        <is>
          <t>OBSERVACIONES</t>
        </is>
      </c>
      <c r="N1" s="6" t="inlineStr">
        <is>
          <t>DUPLICADO</t>
        </is>
      </c>
      <c r="O1" s="6" t="inlineStr">
        <is>
          <t>ESTADO_RECEPCION</t>
        </is>
      </c>
      <c r="P1" s="6" t="inlineStr">
        <is>
          <t>DISPONIBLE_RECEPCION</t>
        </is>
      </c>
      <c r="Q1" s="6" t="inlineStr">
        <is>
          <t>ESTADO_EVENTO</t>
        </is>
      </c>
      <c r="R1" s="6" t="inlineStr">
        <is>
          <t>RESPONSABLE_RECEPCION</t>
        </is>
      </c>
      <c r="S1" s="6" t="inlineStr">
        <is>
          <t>HORA_RECEPCION</t>
        </is>
      </c>
      <c r="T1" s="6" t="inlineStr">
        <is>
          <t>OBS_RECEPCION</t>
        </is>
      </c>
    </row>
    <row r="2">
      <c r="A2" s="7" t="inlineStr">
        <is>
          <t>CH-003</t>
        </is>
      </c>
      <c r="B2" s="7" t="inlineStr">
        <is>
          <t>BIB-001</t>
        </is>
      </c>
      <c r="C2" s="7" t="inlineStr">
        <is>
          <t>Acompañada, pero a solas con la vida</t>
        </is>
      </c>
      <c r="D2" s="7" t="inlineStr">
        <is>
          <t>Johana Brewne Kelly</t>
        </is>
      </c>
      <c r="E2" s="7" t="inlineStr">
        <is>
          <t>San Barbara</t>
        </is>
      </c>
      <c r="F2" s="7" t="inlineStr">
        <is>
          <t>9789585810358</t>
        </is>
      </c>
      <c r="G2" s="7" t="inlineStr">
        <is>
          <t>CH-003</t>
        </is>
      </c>
      <c r="H2" s="7" t="inlineStr">
        <is>
          <t>ITEM 3</t>
        </is>
      </c>
      <c r="I2" s="7" t="inlineStr">
        <is>
          <t>Libros para el Trueque Literario CH.xlsx</t>
        </is>
      </c>
      <c r="J2" s="7" t="n">
        <v>4</v>
      </c>
      <c r="K2" s="7" t="inlineStr">
        <is>
          <t>3</t>
        </is>
      </c>
      <c r="L2" s="7" t="inlineStr"/>
      <c r="M2" s="7" t="inlineStr">
        <is>
          <t>Posible duplicado de: INV-063 (INVENTARIO)</t>
        </is>
      </c>
      <c r="N2" s="7" t="inlineStr">
        <is>
          <t>POSIBLE_DUPLICADO_ENTRE_FUENTES</t>
        </is>
      </c>
      <c r="O2" s="7">
        <f>IFERROR(IF(VLOOKUP($A2,Recepcion!$A$2:$I$85,4,FALSE)="SÍ",IF(VLOOKUP($A2,Recepcion!$A$2:$I$85,5,FALSE)="ACEPTADO","DISPONIBLE",IF(VLOOKUP($A2,Recepcion!$A$2:$I$85,5,FALSE)="RECHAZADO","RECHAZADO","PENDIENTE_VERIFICACION")),IF(VLOOKUP($A2,Recepcion!$A$2:$I$85,4,FALSE)="NO","NO_PRESENTE","PENDIENTE_VERIFICACION")),"PENDIENTE_VERIFICACION")</f>
        <v/>
      </c>
      <c r="P2" s="7">
        <f>IF(O2="DISPONIBLE","SÍ","NO")</f>
        <v/>
      </c>
      <c r="Q2" s="7">
        <f>IF(COUNTIFS(Intercambios!$D$4:$D$103,A2,Intercambios!$G$4:$G$103,"REGISTRADO",Intercambios!$J$4:$J$103,"VÁLIDO")+COUNTIFS(Intercambios!$E$4:$E$103,A2,Intercambios!$G$4:$G$103,"REGISTRADO",Intercambios!$J$4:$J$103,"VÁLIDO")&gt;0,"INTERCAMBIADO",O2)</f>
        <v/>
      </c>
      <c r="R2" s="7">
        <f>IFERROR(VLOOKUP($A2,Recepcion!$A$2:$I$85,7,FALSE),"")</f>
        <v/>
      </c>
      <c r="S2" s="7">
        <f>IFERROR(VLOOKUP($A2,Recepcion!$A$2:$I$85,8,FALSE),"")</f>
        <v/>
      </c>
      <c r="T2" s="7">
        <f>IFERROR(VLOOKUP($A2,Recepcion!$A$2:$I$85,9,FALSE),"")</f>
        <v/>
      </c>
    </row>
    <row r="3">
      <c r="A3" s="7" t="inlineStr">
        <is>
          <t>INV-063</t>
        </is>
      </c>
      <c r="B3" s="7" t="inlineStr">
        <is>
          <t>BIB-001</t>
        </is>
      </c>
      <c r="C3" s="7" t="inlineStr">
        <is>
          <t>Acompañada, pero a solas con la vida</t>
        </is>
      </c>
      <c r="D3" s="7" t="inlineStr">
        <is>
          <t>Kelly Johana Brewne</t>
        </is>
      </c>
      <c r="E3" s="7" t="inlineStr">
        <is>
          <t>San Barbara</t>
        </is>
      </c>
      <c r="F3" s="7" t="inlineStr"/>
      <c r="G3" s="7" t="inlineStr">
        <is>
          <t>INV-063</t>
        </is>
      </c>
      <c r="H3" s="7" t="inlineStr">
        <is>
          <t>EJEMPLAR 1</t>
        </is>
      </c>
      <c r="I3" s="7" t="inlineStr">
        <is>
          <t>INVENTARIO TRUEQUE.xlsx</t>
        </is>
      </c>
      <c r="J3" s="7" t="n">
        <v>65</v>
      </c>
      <c r="K3" s="7" t="inlineStr">
        <is>
          <t>63</t>
        </is>
      </c>
      <c r="L3" s="7" t="inlineStr">
        <is>
          <t>1</t>
        </is>
      </c>
      <c r="M3" s="7" t="inlineStr">
        <is>
          <t>Posible duplicado de: CH-003 (CH)</t>
        </is>
      </c>
      <c r="N3" s="7" t="inlineStr">
        <is>
          <t>POSIBLE_DUPLICADO_ENTRE_FUENTES</t>
        </is>
      </c>
      <c r="O3" s="7">
        <f>IFERROR(IF(VLOOKUP($A3,Recepcion!$A$2:$I$85,4,FALSE)="SÍ",IF(VLOOKUP($A3,Recepcion!$A$2:$I$85,5,FALSE)="ACEPTADO","DISPONIBLE",IF(VLOOKUP($A3,Recepcion!$A$2:$I$85,5,FALSE)="RECHAZADO","RECHAZADO","PENDIENTE_VERIFICACION")),IF(VLOOKUP($A3,Recepcion!$A$2:$I$85,4,FALSE)="NO","NO_PRESENTE","PENDIENTE_VERIFICACION")),"PENDIENTE_VERIFICACION")</f>
        <v/>
      </c>
      <c r="P3" s="7">
        <f>IF(O3="DISPONIBLE","SÍ","NO")</f>
        <v/>
      </c>
      <c r="Q3" s="7">
        <f>IF(COUNTIFS(Intercambios!$D$4:$D$103,A3,Intercambios!$G$4:$G$103,"REGISTRADO",Intercambios!$J$4:$J$103,"VÁLIDO")+COUNTIFS(Intercambios!$E$4:$E$103,A3,Intercambios!$G$4:$G$103,"REGISTRADO",Intercambios!$J$4:$J$103,"VÁLIDO")&gt;0,"INTERCAMBIADO",O3)</f>
        <v/>
      </c>
      <c r="R3" s="7">
        <f>IFERROR(VLOOKUP($A3,Recepcion!$A$2:$I$85,7,FALSE),"")</f>
        <v/>
      </c>
      <c r="S3" s="7">
        <f>IFERROR(VLOOKUP($A3,Recepcion!$A$2:$I$85,8,FALSE),"")</f>
        <v/>
      </c>
      <c r="T3" s="7">
        <f>IFERROR(VLOOKUP($A3,Recepcion!$A$2:$I$85,9,FALSE),"")</f>
        <v/>
      </c>
    </row>
    <row r="4">
      <c r="A4" s="7" t="inlineStr">
        <is>
          <t>INV-053</t>
        </is>
      </c>
      <c r="B4" s="7" t="inlineStr">
        <is>
          <t>BIB-002</t>
        </is>
      </c>
      <c r="C4" s="7" t="inlineStr">
        <is>
          <t>Bailando con Lobos</t>
        </is>
      </c>
      <c r="D4" s="7" t="inlineStr">
        <is>
          <t>Michael Blake</t>
        </is>
      </c>
      <c r="E4" s="7" t="inlineStr">
        <is>
          <t>RBA</t>
        </is>
      </c>
      <c r="F4" s="7" t="inlineStr"/>
      <c r="G4" s="7" t="inlineStr">
        <is>
          <t>INV-053</t>
        </is>
      </c>
      <c r="H4" s="7" t="inlineStr">
        <is>
          <t>EJEMPLAR 1</t>
        </is>
      </c>
      <c r="I4" s="7" t="inlineStr">
        <is>
          <t>INVENTARIO TRUEQUE.xlsx</t>
        </is>
      </c>
      <c r="J4" s="7" t="n">
        <v>55</v>
      </c>
      <c r="K4" s="7" t="inlineStr">
        <is>
          <t>53</t>
        </is>
      </c>
      <c r="L4" s="7" t="inlineStr">
        <is>
          <t>1</t>
        </is>
      </c>
      <c r="M4" s="7" t="inlineStr"/>
      <c r="N4" s="7" t="inlineStr"/>
      <c r="O4" s="7">
        <f>IFERROR(IF(VLOOKUP($A4,Recepcion!$A$2:$I$85,4,FALSE)="SÍ",IF(VLOOKUP($A4,Recepcion!$A$2:$I$85,5,FALSE)="ACEPTADO","DISPONIBLE",IF(VLOOKUP($A4,Recepcion!$A$2:$I$85,5,FALSE)="RECHAZADO","RECHAZADO","PENDIENTE_VERIFICACION")),IF(VLOOKUP($A4,Recepcion!$A$2:$I$85,4,FALSE)="NO","NO_PRESENTE","PENDIENTE_VERIFICACION")),"PENDIENTE_VERIFICACION")</f>
        <v/>
      </c>
      <c r="P4" s="7">
        <f>IF(O4="DISPONIBLE","SÍ","NO")</f>
        <v/>
      </c>
      <c r="Q4" s="7">
        <f>IF(COUNTIFS(Intercambios!$D$4:$D$103,A4,Intercambios!$G$4:$G$103,"REGISTRADO",Intercambios!$J$4:$J$103,"VÁLIDO")+COUNTIFS(Intercambios!$E$4:$E$103,A4,Intercambios!$G$4:$G$103,"REGISTRADO",Intercambios!$J$4:$J$103,"VÁLIDO")&gt;0,"INTERCAMBIADO",O4)</f>
        <v/>
      </c>
      <c r="R4" s="7">
        <f>IFERROR(VLOOKUP($A4,Recepcion!$A$2:$I$85,7,FALSE),"")</f>
        <v/>
      </c>
      <c r="S4" s="7">
        <f>IFERROR(VLOOKUP($A4,Recepcion!$A$2:$I$85,8,FALSE),"")</f>
        <v/>
      </c>
      <c r="T4" s="7">
        <f>IFERROR(VLOOKUP($A4,Recepcion!$A$2:$I$85,9,FALSE),"")</f>
        <v/>
      </c>
    </row>
    <row r="5">
      <c r="A5" s="7" t="inlineStr">
        <is>
          <t>INV-009</t>
        </is>
      </c>
      <c r="B5" s="7" t="inlineStr">
        <is>
          <t>BIB-003</t>
        </is>
      </c>
      <c r="C5" s="7" t="inlineStr">
        <is>
          <t>Bajo la Luna de Mayo</t>
        </is>
      </c>
      <c r="D5" s="7" t="inlineStr">
        <is>
          <t>Gerardo Meneses</t>
        </is>
      </c>
      <c r="E5" s="7" t="inlineStr">
        <is>
          <t>Norma</t>
        </is>
      </c>
      <c r="F5" s="7" t="inlineStr"/>
      <c r="G5" s="7" t="inlineStr">
        <is>
          <t>INV-009</t>
        </is>
      </c>
      <c r="H5" s="7" t="inlineStr">
        <is>
          <t>EJEMPLAR 1</t>
        </is>
      </c>
      <c r="I5" s="7" t="inlineStr">
        <is>
          <t>INVENTARIO TRUEQUE.xlsx</t>
        </is>
      </c>
      <c r="J5" s="7" t="n">
        <v>11</v>
      </c>
      <c r="K5" s="7" t="inlineStr">
        <is>
          <t>9</t>
        </is>
      </c>
      <c r="L5" s="7" t="inlineStr">
        <is>
          <t>1</t>
        </is>
      </c>
      <c r="M5" s="7" t="inlineStr"/>
      <c r="N5" s="7" t="inlineStr"/>
      <c r="O5" s="7">
        <f>IFERROR(IF(VLOOKUP($A5,Recepcion!$A$2:$I$85,4,FALSE)="SÍ",IF(VLOOKUP($A5,Recepcion!$A$2:$I$85,5,FALSE)="ACEPTADO","DISPONIBLE",IF(VLOOKUP($A5,Recepcion!$A$2:$I$85,5,FALSE)="RECHAZADO","RECHAZADO","PENDIENTE_VERIFICACION")),IF(VLOOKUP($A5,Recepcion!$A$2:$I$85,4,FALSE)="NO","NO_PRESENTE","PENDIENTE_VERIFICACION")),"PENDIENTE_VERIFICACION")</f>
        <v/>
      </c>
      <c r="P5" s="7">
        <f>IF(O5="DISPONIBLE","SÍ","NO")</f>
        <v/>
      </c>
      <c r="Q5" s="7">
        <f>IF(COUNTIFS(Intercambios!$D$4:$D$103,A5,Intercambios!$G$4:$G$103,"REGISTRADO",Intercambios!$J$4:$J$103,"VÁLIDO")+COUNTIFS(Intercambios!$E$4:$E$103,A5,Intercambios!$G$4:$G$103,"REGISTRADO",Intercambios!$J$4:$J$103,"VÁLIDO")&gt;0,"INTERCAMBIADO",O5)</f>
        <v/>
      </c>
      <c r="R5" s="7">
        <f>IFERROR(VLOOKUP($A5,Recepcion!$A$2:$I$85,7,FALSE),"")</f>
        <v/>
      </c>
      <c r="S5" s="7">
        <f>IFERROR(VLOOKUP($A5,Recepcion!$A$2:$I$85,8,FALSE),"")</f>
        <v/>
      </c>
      <c r="T5" s="7">
        <f>IFERROR(VLOOKUP($A5,Recepcion!$A$2:$I$85,9,FALSE),"")</f>
        <v/>
      </c>
    </row>
    <row r="6">
      <c r="A6" s="7" t="inlineStr">
        <is>
          <t>INV-049</t>
        </is>
      </c>
      <c r="B6" s="7" t="inlineStr">
        <is>
          <t>BIB-004</t>
        </is>
      </c>
      <c r="C6" s="7" t="inlineStr">
        <is>
          <t>Bajo la Misma Estrella</t>
        </is>
      </c>
      <c r="D6" s="7" t="inlineStr">
        <is>
          <t>John Green</t>
        </is>
      </c>
      <c r="E6" s="7" t="inlineStr">
        <is>
          <t>N/E</t>
        </is>
      </c>
      <c r="F6" s="7" t="inlineStr"/>
      <c r="G6" s="7" t="inlineStr">
        <is>
          <t>INV-049</t>
        </is>
      </c>
      <c r="H6" s="7" t="inlineStr">
        <is>
          <t>EJEMPLAR 1</t>
        </is>
      </c>
      <c r="I6" s="7" t="inlineStr">
        <is>
          <t>INVENTARIO TRUEQUE.xlsx</t>
        </is>
      </c>
      <c r="J6" s="7" t="n">
        <v>51</v>
      </c>
      <c r="K6" s="7" t="inlineStr">
        <is>
          <t>49</t>
        </is>
      </c>
      <c r="L6" s="7" t="inlineStr">
        <is>
          <t>1</t>
        </is>
      </c>
      <c r="M6" s="7" t="inlineStr"/>
      <c r="N6" s="7" t="inlineStr"/>
      <c r="O6" s="7">
        <f>IFERROR(IF(VLOOKUP($A6,Recepcion!$A$2:$I$85,4,FALSE)="SÍ",IF(VLOOKUP($A6,Recepcion!$A$2:$I$85,5,FALSE)="ACEPTADO","DISPONIBLE",IF(VLOOKUP($A6,Recepcion!$A$2:$I$85,5,FALSE)="RECHAZADO","RECHAZADO","PENDIENTE_VERIFICACION")),IF(VLOOKUP($A6,Recepcion!$A$2:$I$85,4,FALSE)="NO","NO_PRESENTE","PENDIENTE_VERIFICACION")),"PENDIENTE_VERIFICACION")</f>
        <v/>
      </c>
      <c r="P6" s="7">
        <f>IF(O6="DISPONIBLE","SÍ","NO")</f>
        <v/>
      </c>
      <c r="Q6" s="7">
        <f>IF(COUNTIFS(Intercambios!$D$4:$D$103,A6,Intercambios!$G$4:$G$103,"REGISTRADO",Intercambios!$J$4:$J$103,"VÁLIDO")+COUNTIFS(Intercambios!$E$4:$E$103,A6,Intercambios!$G$4:$G$103,"REGISTRADO",Intercambios!$J$4:$J$103,"VÁLIDO")&gt;0,"INTERCAMBIADO",O6)</f>
        <v/>
      </c>
      <c r="R6" s="7">
        <f>IFERROR(VLOOKUP($A6,Recepcion!$A$2:$I$85,7,FALSE),"")</f>
        <v/>
      </c>
      <c r="S6" s="7">
        <f>IFERROR(VLOOKUP($A6,Recepcion!$A$2:$I$85,8,FALSE),"")</f>
        <v/>
      </c>
      <c r="T6" s="7">
        <f>IFERROR(VLOOKUP($A6,Recepcion!$A$2:$I$85,9,FALSE),"")</f>
        <v/>
      </c>
    </row>
    <row r="7">
      <c r="A7" s="7" t="inlineStr">
        <is>
          <t>INV-027</t>
        </is>
      </c>
      <c r="B7" s="7" t="inlineStr">
        <is>
          <t>BIB-005</t>
        </is>
      </c>
      <c r="C7" s="7" t="inlineStr">
        <is>
          <t>Boulevard</t>
        </is>
      </c>
      <c r="D7" s="7" t="inlineStr">
        <is>
          <t>Flor Salvador</t>
        </is>
      </c>
      <c r="E7" s="7" t="inlineStr">
        <is>
          <t>Naranja</t>
        </is>
      </c>
      <c r="F7" s="7" t="inlineStr"/>
      <c r="G7" s="7" t="inlineStr">
        <is>
          <t>INV-027</t>
        </is>
      </c>
      <c r="H7" s="7" t="inlineStr">
        <is>
          <t>EJEMPLAR 1</t>
        </is>
      </c>
      <c r="I7" s="7" t="inlineStr">
        <is>
          <t>INVENTARIO TRUEQUE.xlsx</t>
        </is>
      </c>
      <c r="J7" s="7" t="n">
        <v>29</v>
      </c>
      <c r="K7" s="7" t="inlineStr">
        <is>
          <t>27</t>
        </is>
      </c>
      <c r="L7" s="7" t="inlineStr">
        <is>
          <t>1</t>
        </is>
      </c>
      <c r="M7" s="7" t="inlineStr"/>
      <c r="N7" s="7" t="inlineStr"/>
      <c r="O7" s="7">
        <f>IFERROR(IF(VLOOKUP($A7,Recepcion!$A$2:$I$85,4,FALSE)="SÍ",IF(VLOOKUP($A7,Recepcion!$A$2:$I$85,5,FALSE)="ACEPTADO","DISPONIBLE",IF(VLOOKUP($A7,Recepcion!$A$2:$I$85,5,FALSE)="RECHAZADO","RECHAZADO","PENDIENTE_VERIFICACION")),IF(VLOOKUP($A7,Recepcion!$A$2:$I$85,4,FALSE)="NO","NO_PRESENTE","PENDIENTE_VERIFICACION")),"PENDIENTE_VERIFICACION")</f>
        <v/>
      </c>
      <c r="P7" s="7">
        <f>IF(O7="DISPONIBLE","SÍ","NO")</f>
        <v/>
      </c>
      <c r="Q7" s="7">
        <f>IF(COUNTIFS(Intercambios!$D$4:$D$103,A7,Intercambios!$G$4:$G$103,"REGISTRADO",Intercambios!$J$4:$J$103,"VÁLIDO")+COUNTIFS(Intercambios!$E$4:$E$103,A7,Intercambios!$G$4:$G$103,"REGISTRADO",Intercambios!$J$4:$J$103,"VÁLIDO")&gt;0,"INTERCAMBIADO",O7)</f>
        <v/>
      </c>
      <c r="R7" s="7">
        <f>IFERROR(VLOOKUP($A7,Recepcion!$A$2:$I$85,7,FALSE),"")</f>
        <v/>
      </c>
      <c r="S7" s="7">
        <f>IFERROR(VLOOKUP($A7,Recepcion!$A$2:$I$85,8,FALSE),"")</f>
        <v/>
      </c>
      <c r="T7" s="7">
        <f>IFERROR(VLOOKUP($A7,Recepcion!$A$2:$I$85,9,FALSE),"")</f>
        <v/>
      </c>
    </row>
    <row r="8">
      <c r="A8" s="7" t="inlineStr">
        <is>
          <t>INV-044</t>
        </is>
      </c>
      <c r="B8" s="7" t="inlineStr">
        <is>
          <t>BIB-006</t>
        </is>
      </c>
      <c r="C8" s="7" t="inlineStr">
        <is>
          <t>Chat Natacha Chat</t>
        </is>
      </c>
      <c r="D8" s="7" t="inlineStr">
        <is>
          <t>Luis Maria Pescetti</t>
        </is>
      </c>
      <c r="E8" s="7" t="inlineStr">
        <is>
          <t>Alfaguara Juvenil</t>
        </is>
      </c>
      <c r="F8" s="7" t="inlineStr"/>
      <c r="G8" s="7" t="inlineStr">
        <is>
          <t>INV-044</t>
        </is>
      </c>
      <c r="H8" s="7" t="inlineStr">
        <is>
          <t>EJEMPLAR 1</t>
        </is>
      </c>
      <c r="I8" s="7" t="inlineStr">
        <is>
          <t>INVENTARIO TRUEQUE.xlsx</t>
        </is>
      </c>
      <c r="J8" s="7" t="n">
        <v>46</v>
      </c>
      <c r="K8" s="7" t="inlineStr">
        <is>
          <t>44</t>
        </is>
      </c>
      <c r="L8" s="7" t="inlineStr">
        <is>
          <t>1</t>
        </is>
      </c>
      <c r="M8" s="7" t="inlineStr"/>
      <c r="N8" s="7" t="inlineStr"/>
      <c r="O8" s="7">
        <f>IFERROR(IF(VLOOKUP($A8,Recepcion!$A$2:$I$85,4,FALSE)="SÍ",IF(VLOOKUP($A8,Recepcion!$A$2:$I$85,5,FALSE)="ACEPTADO","DISPONIBLE",IF(VLOOKUP($A8,Recepcion!$A$2:$I$85,5,FALSE)="RECHAZADO","RECHAZADO","PENDIENTE_VERIFICACION")),IF(VLOOKUP($A8,Recepcion!$A$2:$I$85,4,FALSE)="NO","NO_PRESENTE","PENDIENTE_VERIFICACION")),"PENDIENTE_VERIFICACION")</f>
        <v/>
      </c>
      <c r="P8" s="7">
        <f>IF(O8="DISPONIBLE","SÍ","NO")</f>
        <v/>
      </c>
      <c r="Q8" s="7">
        <f>IF(COUNTIFS(Intercambios!$D$4:$D$103,A8,Intercambios!$G$4:$G$103,"REGISTRADO",Intercambios!$J$4:$J$103,"VÁLIDO")+COUNTIFS(Intercambios!$E$4:$E$103,A8,Intercambios!$G$4:$G$103,"REGISTRADO",Intercambios!$J$4:$J$103,"VÁLIDO")&gt;0,"INTERCAMBIADO",O8)</f>
        <v/>
      </c>
      <c r="R8" s="7">
        <f>IFERROR(VLOOKUP($A8,Recepcion!$A$2:$I$85,7,FALSE),"")</f>
        <v/>
      </c>
      <c r="S8" s="7">
        <f>IFERROR(VLOOKUP($A8,Recepcion!$A$2:$I$85,8,FALSE),"")</f>
        <v/>
      </c>
      <c r="T8" s="7">
        <f>IFERROR(VLOOKUP($A8,Recepcion!$A$2:$I$85,9,FALSE),"")</f>
        <v/>
      </c>
    </row>
    <row r="9">
      <c r="A9" s="7" t="inlineStr">
        <is>
          <t>INV-056</t>
        </is>
      </c>
      <c r="B9" s="7" t="inlineStr">
        <is>
          <t>BIB-007</t>
        </is>
      </c>
      <c r="C9" s="7" t="inlineStr">
        <is>
          <t>¿Chicos de la Calle o Trabajo Chico?</t>
        </is>
      </c>
      <c r="D9" s="7" t="inlineStr">
        <is>
          <t>Jose Manuel Grima, Alicia le Fur</t>
        </is>
      </c>
      <c r="E9" s="7" t="inlineStr">
        <is>
          <t>Lumen Hymanitas</t>
        </is>
      </c>
      <c r="F9" s="7" t="inlineStr"/>
      <c r="G9" s="7" t="inlineStr">
        <is>
          <t>INV-056</t>
        </is>
      </c>
      <c r="H9" s="7" t="inlineStr">
        <is>
          <t>EJEMPLAR 1</t>
        </is>
      </c>
      <c r="I9" s="7" t="inlineStr">
        <is>
          <t>INVENTARIO TRUEQUE.xlsx</t>
        </is>
      </c>
      <c r="J9" s="7" t="n">
        <v>58</v>
      </c>
      <c r="K9" s="7" t="inlineStr">
        <is>
          <t>56</t>
        </is>
      </c>
      <c r="L9" s="7" t="inlineStr">
        <is>
          <t>1</t>
        </is>
      </c>
      <c r="M9" s="7" t="inlineStr"/>
      <c r="N9" s="7" t="inlineStr"/>
      <c r="O9" s="7">
        <f>IFERROR(IF(VLOOKUP($A9,Recepcion!$A$2:$I$85,4,FALSE)="SÍ",IF(VLOOKUP($A9,Recepcion!$A$2:$I$85,5,FALSE)="ACEPTADO","DISPONIBLE",IF(VLOOKUP($A9,Recepcion!$A$2:$I$85,5,FALSE)="RECHAZADO","RECHAZADO","PENDIENTE_VERIFICACION")),IF(VLOOKUP($A9,Recepcion!$A$2:$I$85,4,FALSE)="NO","NO_PRESENTE","PENDIENTE_VERIFICACION")),"PENDIENTE_VERIFICACION")</f>
        <v/>
      </c>
      <c r="P9" s="7">
        <f>IF(O9="DISPONIBLE","SÍ","NO")</f>
        <v/>
      </c>
      <c r="Q9" s="7">
        <f>IF(COUNTIFS(Intercambios!$D$4:$D$103,A9,Intercambios!$G$4:$G$103,"REGISTRADO",Intercambios!$J$4:$J$103,"VÁLIDO")+COUNTIFS(Intercambios!$E$4:$E$103,A9,Intercambios!$G$4:$G$103,"REGISTRADO",Intercambios!$J$4:$J$103,"VÁLIDO")&gt;0,"INTERCAMBIADO",O9)</f>
        <v/>
      </c>
      <c r="R9" s="7">
        <f>IFERROR(VLOOKUP($A9,Recepcion!$A$2:$I$85,7,FALSE),"")</f>
        <v/>
      </c>
      <c r="S9" s="7">
        <f>IFERROR(VLOOKUP($A9,Recepcion!$A$2:$I$85,8,FALSE),"")</f>
        <v/>
      </c>
      <c r="T9" s="7">
        <f>IFERROR(VLOOKUP($A9,Recepcion!$A$2:$I$85,9,FALSE),"")</f>
        <v/>
      </c>
    </row>
    <row r="10">
      <c r="A10" s="7" t="inlineStr">
        <is>
          <t>INV-029</t>
        </is>
      </c>
      <c r="B10" s="7" t="inlineStr">
        <is>
          <t>BIB-008</t>
        </is>
      </c>
      <c r="C10" s="7" t="inlineStr">
        <is>
          <t>Cien Años de Soledad</t>
        </is>
      </c>
      <c r="D10" s="7" t="inlineStr">
        <is>
          <t>Gabriel Garcia Marquez</t>
        </is>
      </c>
      <c r="E10" s="7" t="inlineStr">
        <is>
          <t>Norma</t>
        </is>
      </c>
      <c r="F10" s="7" t="inlineStr"/>
      <c r="G10" s="7" t="inlineStr">
        <is>
          <t>INV-029</t>
        </is>
      </c>
      <c r="H10" s="7" t="inlineStr">
        <is>
          <t>EJEMPLAR 1</t>
        </is>
      </c>
      <c r="I10" s="7" t="inlineStr">
        <is>
          <t>INVENTARIO TRUEQUE.xlsx</t>
        </is>
      </c>
      <c r="J10" s="7" t="n">
        <v>31</v>
      </c>
      <c r="K10" s="7" t="inlineStr">
        <is>
          <t>29</t>
        </is>
      </c>
      <c r="L10" s="7" t="inlineStr">
        <is>
          <t>1</t>
        </is>
      </c>
      <c r="M10" s="7" t="inlineStr"/>
      <c r="N10" s="7" t="inlineStr"/>
      <c r="O10" s="7">
        <f>IFERROR(IF(VLOOKUP($A10,Recepcion!$A$2:$I$85,4,FALSE)="SÍ",IF(VLOOKUP($A10,Recepcion!$A$2:$I$85,5,FALSE)="ACEPTADO","DISPONIBLE",IF(VLOOKUP($A10,Recepcion!$A$2:$I$85,5,FALSE)="RECHAZADO","RECHAZADO","PENDIENTE_VERIFICACION")),IF(VLOOKUP($A10,Recepcion!$A$2:$I$85,4,FALSE)="NO","NO_PRESENTE","PENDIENTE_VERIFICACION")),"PENDIENTE_VERIFICACION")</f>
        <v/>
      </c>
      <c r="P10" s="7">
        <f>IF(O10="DISPONIBLE","SÍ","NO")</f>
        <v/>
      </c>
      <c r="Q10" s="7">
        <f>IF(COUNTIFS(Intercambios!$D$4:$D$103,A10,Intercambios!$G$4:$G$103,"REGISTRADO",Intercambios!$J$4:$J$103,"VÁLIDO")+COUNTIFS(Intercambios!$E$4:$E$103,A10,Intercambios!$G$4:$G$103,"REGISTRADO",Intercambios!$J$4:$J$103,"VÁLIDO")&gt;0,"INTERCAMBIADO",O10)</f>
        <v/>
      </c>
      <c r="R10" s="7">
        <f>IFERROR(VLOOKUP($A10,Recepcion!$A$2:$I$85,7,FALSE),"")</f>
        <v/>
      </c>
      <c r="S10" s="7">
        <f>IFERROR(VLOOKUP($A10,Recepcion!$A$2:$I$85,8,FALSE),"")</f>
        <v/>
      </c>
      <c r="T10" s="7">
        <f>IFERROR(VLOOKUP($A10,Recepcion!$A$2:$I$85,9,FALSE),"")</f>
        <v/>
      </c>
    </row>
    <row r="11">
      <c r="A11" s="7" t="inlineStr">
        <is>
          <t>CH-002</t>
        </is>
      </c>
      <c r="B11" s="7" t="inlineStr">
        <is>
          <t>BIB-009</t>
        </is>
      </c>
      <c r="C11" s="7" t="inlineStr">
        <is>
          <t>Con el alma en la mano</t>
        </is>
      </c>
      <c r="D11" s="7" t="inlineStr">
        <is>
          <t>Perret Gentil Beatriz</t>
        </is>
      </c>
      <c r="E11" s="7" t="inlineStr">
        <is>
          <t>San Barbara</t>
        </is>
      </c>
      <c r="F11" s="7" t="inlineStr">
        <is>
          <t>9789585837515</t>
        </is>
      </c>
      <c r="G11" s="7" t="inlineStr">
        <is>
          <t>CH-002</t>
        </is>
      </c>
      <c r="H11" s="7" t="inlineStr">
        <is>
          <t>ITEM 2</t>
        </is>
      </c>
      <c r="I11" s="7" t="inlineStr">
        <is>
          <t>Libros para el Trueque Literario CH.xlsx</t>
        </is>
      </c>
      <c r="J11" s="7" t="n">
        <v>3</v>
      </c>
      <c r="K11" s="7" t="inlineStr">
        <is>
          <t>2</t>
        </is>
      </c>
      <c r="L11" s="7" t="inlineStr"/>
      <c r="M11" s="7" t="inlineStr">
        <is>
          <t>Posible duplicado de: INV-062 (INVENTARIO)</t>
        </is>
      </c>
      <c r="N11" s="7" t="inlineStr">
        <is>
          <t>POSIBLE_DUPLICADO_ENTRE_FUENTES</t>
        </is>
      </c>
      <c r="O11" s="7">
        <f>IFERROR(IF(VLOOKUP($A11,Recepcion!$A$2:$I$85,4,FALSE)="SÍ",IF(VLOOKUP($A11,Recepcion!$A$2:$I$85,5,FALSE)="ACEPTADO","DISPONIBLE",IF(VLOOKUP($A11,Recepcion!$A$2:$I$85,5,FALSE)="RECHAZADO","RECHAZADO","PENDIENTE_VERIFICACION")),IF(VLOOKUP($A11,Recepcion!$A$2:$I$85,4,FALSE)="NO","NO_PRESENTE","PENDIENTE_VERIFICACION")),"PENDIENTE_VERIFICACION")</f>
        <v/>
      </c>
      <c r="P11" s="7">
        <f>IF(O11="DISPONIBLE","SÍ","NO")</f>
        <v/>
      </c>
      <c r="Q11" s="7">
        <f>IF(COUNTIFS(Intercambios!$D$4:$D$103,A11,Intercambios!$G$4:$G$103,"REGISTRADO",Intercambios!$J$4:$J$103,"VÁLIDO")+COUNTIFS(Intercambios!$E$4:$E$103,A11,Intercambios!$G$4:$G$103,"REGISTRADO",Intercambios!$J$4:$J$103,"VÁLIDO")&gt;0,"INTERCAMBIADO",O11)</f>
        <v/>
      </c>
      <c r="R11" s="7">
        <f>IFERROR(VLOOKUP($A11,Recepcion!$A$2:$I$85,7,FALSE),"")</f>
        <v/>
      </c>
      <c r="S11" s="7">
        <f>IFERROR(VLOOKUP($A11,Recepcion!$A$2:$I$85,8,FALSE),"")</f>
        <v/>
      </c>
      <c r="T11" s="7">
        <f>IFERROR(VLOOKUP($A11,Recepcion!$A$2:$I$85,9,FALSE),"")</f>
        <v/>
      </c>
    </row>
    <row r="12">
      <c r="A12" s="7" t="inlineStr">
        <is>
          <t>INV-062</t>
        </is>
      </c>
      <c r="B12" s="7" t="inlineStr">
        <is>
          <t>BIB-009</t>
        </is>
      </c>
      <c r="C12" s="7" t="inlineStr">
        <is>
          <t>Con el alma en la mano</t>
        </is>
      </c>
      <c r="D12" s="7" t="inlineStr">
        <is>
          <t>Beatriz Perret Gentil</t>
        </is>
      </c>
      <c r="E12" s="7" t="inlineStr">
        <is>
          <t>San Barbara</t>
        </is>
      </c>
      <c r="F12" s="7" t="inlineStr"/>
      <c r="G12" s="7" t="inlineStr">
        <is>
          <t>INV-062</t>
        </is>
      </c>
      <c r="H12" s="7" t="inlineStr">
        <is>
          <t>EJEMPLAR 1</t>
        </is>
      </c>
      <c r="I12" s="7" t="inlineStr">
        <is>
          <t>INVENTARIO TRUEQUE.xlsx</t>
        </is>
      </c>
      <c r="J12" s="7" t="n">
        <v>64</v>
      </c>
      <c r="K12" s="7" t="inlineStr">
        <is>
          <t>62</t>
        </is>
      </c>
      <c r="L12" s="7" t="inlineStr">
        <is>
          <t>1</t>
        </is>
      </c>
      <c r="M12" s="7" t="inlineStr">
        <is>
          <t>Posible duplicado de: CH-002 (CH)</t>
        </is>
      </c>
      <c r="N12" s="7" t="inlineStr">
        <is>
          <t>POSIBLE_DUPLICADO_ENTRE_FUENTES</t>
        </is>
      </c>
      <c r="O12" s="7">
        <f>IFERROR(IF(VLOOKUP($A12,Recepcion!$A$2:$I$85,4,FALSE)="SÍ",IF(VLOOKUP($A12,Recepcion!$A$2:$I$85,5,FALSE)="ACEPTADO","DISPONIBLE",IF(VLOOKUP($A12,Recepcion!$A$2:$I$85,5,FALSE)="RECHAZADO","RECHAZADO","PENDIENTE_VERIFICACION")),IF(VLOOKUP($A12,Recepcion!$A$2:$I$85,4,FALSE)="NO","NO_PRESENTE","PENDIENTE_VERIFICACION")),"PENDIENTE_VERIFICACION")</f>
        <v/>
      </c>
      <c r="P12" s="7">
        <f>IF(O12="DISPONIBLE","SÍ","NO")</f>
        <v/>
      </c>
      <c r="Q12" s="7">
        <f>IF(COUNTIFS(Intercambios!$D$4:$D$103,A12,Intercambios!$G$4:$G$103,"REGISTRADO",Intercambios!$J$4:$J$103,"VÁLIDO")+COUNTIFS(Intercambios!$E$4:$E$103,A12,Intercambios!$G$4:$G$103,"REGISTRADO",Intercambios!$J$4:$J$103,"VÁLIDO")&gt;0,"INTERCAMBIADO",O12)</f>
        <v/>
      </c>
      <c r="R12" s="7">
        <f>IFERROR(VLOOKUP($A12,Recepcion!$A$2:$I$85,7,FALSE),"")</f>
        <v/>
      </c>
      <c r="S12" s="7">
        <f>IFERROR(VLOOKUP($A12,Recepcion!$A$2:$I$85,8,FALSE),"")</f>
        <v/>
      </c>
      <c r="T12" s="7">
        <f>IFERROR(VLOOKUP($A12,Recepcion!$A$2:$I$85,9,FALSE),"")</f>
        <v/>
      </c>
    </row>
    <row r="13">
      <c r="A13" s="7" t="inlineStr">
        <is>
          <t>INV-007</t>
        </is>
      </c>
      <c r="B13" s="7" t="inlineStr">
        <is>
          <t>BIB-010</t>
        </is>
      </c>
      <c r="C13" s="7" t="inlineStr">
        <is>
          <t>Conversaciones con Dios</t>
        </is>
      </c>
      <c r="D13" s="7" t="inlineStr">
        <is>
          <t>Neale Donald</t>
        </is>
      </c>
      <c r="E13" s="7" t="inlineStr">
        <is>
          <t>Debolsillo</t>
        </is>
      </c>
      <c r="F13" s="7" t="inlineStr"/>
      <c r="G13" s="7" t="inlineStr">
        <is>
          <t>INV-007</t>
        </is>
      </c>
      <c r="H13" s="7" t="inlineStr">
        <is>
          <t>EJEMPLAR 1</t>
        </is>
      </c>
      <c r="I13" s="7" t="inlineStr">
        <is>
          <t>INVENTARIO TRUEQUE.xlsx</t>
        </is>
      </c>
      <c r="J13" s="7" t="n">
        <v>9</v>
      </c>
      <c r="K13" s="7" t="inlineStr">
        <is>
          <t>7</t>
        </is>
      </c>
      <c r="L13" s="7" t="inlineStr">
        <is>
          <t>1</t>
        </is>
      </c>
      <c r="M13" s="7" t="inlineStr"/>
      <c r="N13" s="7" t="inlineStr"/>
      <c r="O13" s="7">
        <f>IFERROR(IF(VLOOKUP($A13,Recepcion!$A$2:$I$85,4,FALSE)="SÍ",IF(VLOOKUP($A13,Recepcion!$A$2:$I$85,5,FALSE)="ACEPTADO","DISPONIBLE",IF(VLOOKUP($A13,Recepcion!$A$2:$I$85,5,FALSE)="RECHAZADO","RECHAZADO","PENDIENTE_VERIFICACION")),IF(VLOOKUP($A13,Recepcion!$A$2:$I$85,4,FALSE)="NO","NO_PRESENTE","PENDIENTE_VERIFICACION")),"PENDIENTE_VERIFICACION")</f>
        <v/>
      </c>
      <c r="P13" s="7">
        <f>IF(O13="DISPONIBLE","SÍ","NO")</f>
        <v/>
      </c>
      <c r="Q13" s="7">
        <f>IF(COUNTIFS(Intercambios!$D$4:$D$103,A13,Intercambios!$G$4:$G$103,"REGISTRADO",Intercambios!$J$4:$J$103,"VÁLIDO")+COUNTIFS(Intercambios!$E$4:$E$103,A13,Intercambios!$G$4:$G$103,"REGISTRADO",Intercambios!$J$4:$J$103,"VÁLIDO")&gt;0,"INTERCAMBIADO",O13)</f>
        <v/>
      </c>
      <c r="R13" s="7">
        <f>IFERROR(VLOOKUP($A13,Recepcion!$A$2:$I$85,7,FALSE),"")</f>
        <v/>
      </c>
      <c r="S13" s="7">
        <f>IFERROR(VLOOKUP($A13,Recepcion!$A$2:$I$85,8,FALSE),"")</f>
        <v/>
      </c>
      <c r="T13" s="7">
        <f>IFERROR(VLOOKUP($A13,Recepcion!$A$2:$I$85,9,FALSE),"")</f>
        <v/>
      </c>
    </row>
    <row r="14">
      <c r="A14" s="7" t="inlineStr">
        <is>
          <t>INV-050</t>
        </is>
      </c>
      <c r="B14" s="7" t="inlineStr">
        <is>
          <t>BIB-011</t>
        </is>
      </c>
      <c r="C14" s="7" t="inlineStr">
        <is>
          <t>Cronicas de una Muerte Anunciada</t>
        </is>
      </c>
      <c r="D14" s="7" t="inlineStr">
        <is>
          <t>Gabriel Garcia Marquez</t>
        </is>
      </c>
      <c r="E14" s="7" t="inlineStr">
        <is>
          <t>N/E</t>
        </is>
      </c>
      <c r="F14" s="7" t="inlineStr"/>
      <c r="G14" s="7" t="inlineStr">
        <is>
          <t>INV-050</t>
        </is>
      </c>
      <c r="H14" s="7" t="inlineStr">
        <is>
          <t>EJEMPLAR 1</t>
        </is>
      </c>
      <c r="I14" s="7" t="inlineStr">
        <is>
          <t>INVENTARIO TRUEQUE.xlsx</t>
        </is>
      </c>
      <c r="J14" s="7" t="n">
        <v>52</v>
      </c>
      <c r="K14" s="7" t="inlineStr">
        <is>
          <t>50</t>
        </is>
      </c>
      <c r="L14" s="7" t="inlineStr">
        <is>
          <t>1</t>
        </is>
      </c>
      <c r="M14" s="7" t="inlineStr"/>
      <c r="N14" s="7" t="inlineStr"/>
      <c r="O14" s="7">
        <f>IFERROR(IF(VLOOKUP($A14,Recepcion!$A$2:$I$85,4,FALSE)="SÍ",IF(VLOOKUP($A14,Recepcion!$A$2:$I$85,5,FALSE)="ACEPTADO","DISPONIBLE",IF(VLOOKUP($A14,Recepcion!$A$2:$I$85,5,FALSE)="RECHAZADO","RECHAZADO","PENDIENTE_VERIFICACION")),IF(VLOOKUP($A14,Recepcion!$A$2:$I$85,4,FALSE)="NO","NO_PRESENTE","PENDIENTE_VERIFICACION")),"PENDIENTE_VERIFICACION")</f>
        <v/>
      </c>
      <c r="P14" s="7">
        <f>IF(O14="DISPONIBLE","SÍ","NO")</f>
        <v/>
      </c>
      <c r="Q14" s="7">
        <f>IF(COUNTIFS(Intercambios!$D$4:$D$103,A14,Intercambios!$G$4:$G$103,"REGISTRADO",Intercambios!$J$4:$J$103,"VÁLIDO")+COUNTIFS(Intercambios!$E$4:$E$103,A14,Intercambios!$G$4:$G$103,"REGISTRADO",Intercambios!$J$4:$J$103,"VÁLIDO")&gt;0,"INTERCAMBIADO",O14)</f>
        <v/>
      </c>
      <c r="R14" s="7">
        <f>IFERROR(VLOOKUP($A14,Recepcion!$A$2:$I$85,7,FALSE),"")</f>
        <v/>
      </c>
      <c r="S14" s="7">
        <f>IFERROR(VLOOKUP($A14,Recepcion!$A$2:$I$85,8,FALSE),"")</f>
        <v/>
      </c>
      <c r="T14" s="7">
        <f>IFERROR(VLOOKUP($A14,Recepcion!$A$2:$I$85,9,FALSE),"")</f>
        <v/>
      </c>
    </row>
    <row r="15">
      <c r="A15" s="7" t="inlineStr">
        <is>
          <t>CH-008</t>
        </is>
      </c>
      <c r="B15" s="7" t="inlineStr">
        <is>
          <t>BIB-012</t>
        </is>
      </c>
      <c r="C15" s="7" t="inlineStr">
        <is>
          <t>Cuando despierte el viento</t>
        </is>
      </c>
      <c r="D15" s="7" t="inlineStr">
        <is>
          <t>Heredia Maria F.</t>
        </is>
      </c>
      <c r="E15" s="7" t="inlineStr">
        <is>
          <t>Norma</t>
        </is>
      </c>
      <c r="F15" s="7" t="inlineStr">
        <is>
          <t>9789580009658</t>
        </is>
      </c>
      <c r="G15" s="7" t="inlineStr">
        <is>
          <t>CH-008</t>
        </is>
      </c>
      <c r="H15" s="7" t="inlineStr">
        <is>
          <t>ITEM 8</t>
        </is>
      </c>
      <c r="I15" s="7" t="inlineStr">
        <is>
          <t>Libros para el Trueque Literario CH.xlsx</t>
        </is>
      </c>
      <c r="J15" s="7" t="n">
        <v>9</v>
      </c>
      <c r="K15" s="7" t="inlineStr">
        <is>
          <t>8</t>
        </is>
      </c>
      <c r="L15" s="7" t="inlineStr"/>
      <c r="M15" s="7" t="inlineStr"/>
      <c r="N15" s="7" t="inlineStr"/>
      <c r="O15" s="7">
        <f>IFERROR(IF(VLOOKUP($A15,Recepcion!$A$2:$I$85,4,FALSE)="SÍ",IF(VLOOKUP($A15,Recepcion!$A$2:$I$85,5,FALSE)="ACEPTADO","DISPONIBLE",IF(VLOOKUP($A15,Recepcion!$A$2:$I$85,5,FALSE)="RECHAZADO","RECHAZADO","PENDIENTE_VERIFICACION")),IF(VLOOKUP($A15,Recepcion!$A$2:$I$85,4,FALSE)="NO","NO_PRESENTE","PENDIENTE_VERIFICACION")),"PENDIENTE_VERIFICACION")</f>
        <v/>
      </c>
      <c r="P15" s="7">
        <f>IF(O15="DISPONIBLE","SÍ","NO")</f>
        <v/>
      </c>
      <c r="Q15" s="7">
        <f>IF(COUNTIFS(Intercambios!$D$4:$D$103,A15,Intercambios!$G$4:$G$103,"REGISTRADO",Intercambios!$J$4:$J$103,"VÁLIDO")+COUNTIFS(Intercambios!$E$4:$E$103,A15,Intercambios!$G$4:$G$103,"REGISTRADO",Intercambios!$J$4:$J$103,"VÁLIDO")&gt;0,"INTERCAMBIADO",O15)</f>
        <v/>
      </c>
      <c r="R15" s="7">
        <f>IFERROR(VLOOKUP($A15,Recepcion!$A$2:$I$85,7,FALSE),"")</f>
        <v/>
      </c>
      <c r="S15" s="7">
        <f>IFERROR(VLOOKUP($A15,Recepcion!$A$2:$I$85,8,FALSE),"")</f>
        <v/>
      </c>
      <c r="T15" s="7">
        <f>IFERROR(VLOOKUP($A15,Recepcion!$A$2:$I$85,9,FALSE),"")</f>
        <v/>
      </c>
    </row>
    <row r="16">
      <c r="A16" s="7" t="inlineStr">
        <is>
          <t>CH-007</t>
        </is>
      </c>
      <c r="B16" s="7" t="inlineStr">
        <is>
          <t>BIB-013</t>
        </is>
      </c>
      <c r="C16" s="7" t="inlineStr">
        <is>
          <t>Cumbia Soul</t>
        </is>
      </c>
      <c r="D16" s="7" t="inlineStr">
        <is>
          <t>Maria T. Balogh</t>
        </is>
      </c>
      <c r="E16" s="7" t="inlineStr">
        <is>
          <t>Cool Way Press</t>
        </is>
      </c>
      <c r="F16" s="7" t="inlineStr">
        <is>
          <t>9780990972914</t>
        </is>
      </c>
      <c r="G16" s="7" t="inlineStr">
        <is>
          <t>CH-007</t>
        </is>
      </c>
      <c r="H16" s="7" t="inlineStr">
        <is>
          <t>ITEM 7</t>
        </is>
      </c>
      <c r="I16" s="7" t="inlineStr">
        <is>
          <t>Libros para el Trueque Literario CH.xlsx</t>
        </is>
      </c>
      <c r="J16" s="7" t="n">
        <v>8</v>
      </c>
      <c r="K16" s="7" t="inlineStr">
        <is>
          <t>7</t>
        </is>
      </c>
      <c r="L16" s="7" t="inlineStr"/>
      <c r="M16" s="7" t="inlineStr">
        <is>
          <t>Posible duplicado de: INV-067 (INVENTARIO)</t>
        </is>
      </c>
      <c r="N16" s="7" t="inlineStr">
        <is>
          <t>POSIBLE_DUPLICADO_ENTRE_FUENTES</t>
        </is>
      </c>
      <c r="O16" s="7">
        <f>IFERROR(IF(VLOOKUP($A16,Recepcion!$A$2:$I$85,4,FALSE)="SÍ",IF(VLOOKUP($A16,Recepcion!$A$2:$I$85,5,FALSE)="ACEPTADO","DISPONIBLE",IF(VLOOKUP($A16,Recepcion!$A$2:$I$85,5,FALSE)="RECHAZADO","RECHAZADO","PENDIENTE_VERIFICACION")),IF(VLOOKUP($A16,Recepcion!$A$2:$I$85,4,FALSE)="NO","NO_PRESENTE","PENDIENTE_VERIFICACION")),"PENDIENTE_VERIFICACION")</f>
        <v/>
      </c>
      <c r="P16" s="7">
        <f>IF(O16="DISPONIBLE","SÍ","NO")</f>
        <v/>
      </c>
      <c r="Q16" s="7">
        <f>IF(COUNTIFS(Intercambios!$D$4:$D$103,A16,Intercambios!$G$4:$G$103,"REGISTRADO",Intercambios!$J$4:$J$103,"VÁLIDO")+COUNTIFS(Intercambios!$E$4:$E$103,A16,Intercambios!$G$4:$G$103,"REGISTRADO",Intercambios!$J$4:$J$103,"VÁLIDO")&gt;0,"INTERCAMBIADO",O16)</f>
        <v/>
      </c>
      <c r="R16" s="7">
        <f>IFERROR(VLOOKUP($A16,Recepcion!$A$2:$I$85,7,FALSE),"")</f>
        <v/>
      </c>
      <c r="S16" s="7">
        <f>IFERROR(VLOOKUP($A16,Recepcion!$A$2:$I$85,8,FALSE),"")</f>
        <v/>
      </c>
      <c r="T16" s="7">
        <f>IFERROR(VLOOKUP($A16,Recepcion!$A$2:$I$85,9,FALSE),"")</f>
        <v/>
      </c>
    </row>
    <row r="17">
      <c r="A17" s="7" t="inlineStr">
        <is>
          <t>INV-067</t>
        </is>
      </c>
      <c r="B17" s="7" t="inlineStr">
        <is>
          <t>BIB-013</t>
        </is>
      </c>
      <c r="C17" s="7" t="inlineStr">
        <is>
          <t>Cumbia Soul</t>
        </is>
      </c>
      <c r="D17" s="7" t="inlineStr">
        <is>
          <t>Maria T. Balogh</t>
        </is>
      </c>
      <c r="E17" s="7" t="inlineStr">
        <is>
          <t>Cool Way Press</t>
        </is>
      </c>
      <c r="F17" s="7" t="inlineStr"/>
      <c r="G17" s="7" t="inlineStr">
        <is>
          <t>INV-067</t>
        </is>
      </c>
      <c r="H17" s="7" t="inlineStr">
        <is>
          <t>EJEMPLAR 1</t>
        </is>
      </c>
      <c r="I17" s="7" t="inlineStr">
        <is>
          <t>INVENTARIO TRUEQUE.xlsx</t>
        </is>
      </c>
      <c r="J17" s="7" t="n">
        <v>69</v>
      </c>
      <c r="K17" s="7" t="inlineStr">
        <is>
          <t>67</t>
        </is>
      </c>
      <c r="L17" s="7" t="inlineStr">
        <is>
          <t>1</t>
        </is>
      </c>
      <c r="M17" s="7" t="inlineStr">
        <is>
          <t>Posible duplicado de: CH-007 (CH)</t>
        </is>
      </c>
      <c r="N17" s="7" t="inlineStr">
        <is>
          <t>POSIBLE_DUPLICADO_ENTRE_FUENTES</t>
        </is>
      </c>
      <c r="O17" s="7">
        <f>IFERROR(IF(VLOOKUP($A17,Recepcion!$A$2:$I$85,4,FALSE)="SÍ",IF(VLOOKUP($A17,Recepcion!$A$2:$I$85,5,FALSE)="ACEPTADO","DISPONIBLE",IF(VLOOKUP($A17,Recepcion!$A$2:$I$85,5,FALSE)="RECHAZADO","RECHAZADO","PENDIENTE_VERIFICACION")),IF(VLOOKUP($A17,Recepcion!$A$2:$I$85,4,FALSE)="NO","NO_PRESENTE","PENDIENTE_VERIFICACION")),"PENDIENTE_VERIFICACION")</f>
        <v/>
      </c>
      <c r="P17" s="7">
        <f>IF(O17="DISPONIBLE","SÍ","NO")</f>
        <v/>
      </c>
      <c r="Q17" s="7">
        <f>IF(COUNTIFS(Intercambios!$D$4:$D$103,A17,Intercambios!$G$4:$G$103,"REGISTRADO",Intercambios!$J$4:$J$103,"VÁLIDO")+COUNTIFS(Intercambios!$E$4:$E$103,A17,Intercambios!$G$4:$G$103,"REGISTRADO",Intercambios!$J$4:$J$103,"VÁLIDO")&gt;0,"INTERCAMBIADO",O17)</f>
        <v/>
      </c>
      <c r="R17" s="7">
        <f>IFERROR(VLOOKUP($A17,Recepcion!$A$2:$I$85,7,FALSE),"")</f>
        <v/>
      </c>
      <c r="S17" s="7">
        <f>IFERROR(VLOOKUP($A17,Recepcion!$A$2:$I$85,8,FALSE),"")</f>
        <v/>
      </c>
      <c r="T17" s="7">
        <f>IFERROR(VLOOKUP($A17,Recepcion!$A$2:$I$85,9,FALSE),"")</f>
        <v/>
      </c>
    </row>
    <row r="18">
      <c r="A18" s="7" t="inlineStr">
        <is>
          <t>CH-005</t>
        </is>
      </c>
      <c r="B18" s="7" t="inlineStr">
        <is>
          <t>BIB-014</t>
        </is>
      </c>
      <c r="C18" s="7" t="inlineStr">
        <is>
          <t>De Rejas y Amor</t>
        </is>
      </c>
      <c r="D18" s="7" t="inlineStr">
        <is>
          <t>Barreira Maria Arturo</t>
        </is>
      </c>
      <c r="E18" s="7" t="inlineStr">
        <is>
          <t>San Barbara</t>
        </is>
      </c>
      <c r="F18" s="7" t="inlineStr">
        <is>
          <t>9789585837591</t>
        </is>
      </c>
      <c r="G18" s="7" t="inlineStr">
        <is>
          <t>CH-005</t>
        </is>
      </c>
      <c r="H18" s="7" t="inlineStr">
        <is>
          <t>ITEM 5</t>
        </is>
      </c>
      <c r="I18" s="7" t="inlineStr">
        <is>
          <t>Libros para el Trueque Literario CH.xlsx</t>
        </is>
      </c>
      <c r="J18" s="7" t="n">
        <v>6</v>
      </c>
      <c r="K18" s="7" t="inlineStr">
        <is>
          <t>5</t>
        </is>
      </c>
      <c r="L18" s="7" t="inlineStr"/>
      <c r="M18" s="7" t="inlineStr">
        <is>
          <t>Posible duplicado de: INV-065 (INVENTARIO)</t>
        </is>
      </c>
      <c r="N18" s="7" t="inlineStr">
        <is>
          <t>POSIBLE_DUPLICADO_ENTRE_FUENTES</t>
        </is>
      </c>
      <c r="O18" s="7">
        <f>IFERROR(IF(VLOOKUP($A18,Recepcion!$A$2:$I$85,4,FALSE)="SÍ",IF(VLOOKUP($A18,Recepcion!$A$2:$I$85,5,FALSE)="ACEPTADO","DISPONIBLE",IF(VLOOKUP($A18,Recepcion!$A$2:$I$85,5,FALSE)="RECHAZADO","RECHAZADO","PENDIENTE_VERIFICACION")),IF(VLOOKUP($A18,Recepcion!$A$2:$I$85,4,FALSE)="NO","NO_PRESENTE","PENDIENTE_VERIFICACION")),"PENDIENTE_VERIFICACION")</f>
        <v/>
      </c>
      <c r="P18" s="7">
        <f>IF(O18="DISPONIBLE","SÍ","NO")</f>
        <v/>
      </c>
      <c r="Q18" s="7">
        <f>IF(COUNTIFS(Intercambios!$D$4:$D$103,A18,Intercambios!$G$4:$G$103,"REGISTRADO",Intercambios!$J$4:$J$103,"VÁLIDO")+COUNTIFS(Intercambios!$E$4:$E$103,A18,Intercambios!$G$4:$G$103,"REGISTRADO",Intercambios!$J$4:$J$103,"VÁLIDO")&gt;0,"INTERCAMBIADO",O18)</f>
        <v/>
      </c>
      <c r="R18" s="7">
        <f>IFERROR(VLOOKUP($A18,Recepcion!$A$2:$I$85,7,FALSE),"")</f>
        <v/>
      </c>
      <c r="S18" s="7">
        <f>IFERROR(VLOOKUP($A18,Recepcion!$A$2:$I$85,8,FALSE),"")</f>
        <v/>
      </c>
      <c r="T18" s="7">
        <f>IFERROR(VLOOKUP($A18,Recepcion!$A$2:$I$85,9,FALSE),"")</f>
        <v/>
      </c>
    </row>
    <row r="19">
      <c r="A19" s="7" t="inlineStr">
        <is>
          <t>INV-065</t>
        </is>
      </c>
      <c r="B19" s="7" t="inlineStr">
        <is>
          <t>BIB-014</t>
        </is>
      </c>
      <c r="C19" s="7" t="inlineStr">
        <is>
          <t>De Rejas y Amor</t>
        </is>
      </c>
      <c r="D19" s="7" t="inlineStr">
        <is>
          <t>Arturo Barreira Maria</t>
        </is>
      </c>
      <c r="E19" s="7" t="inlineStr">
        <is>
          <t>San Barbara</t>
        </is>
      </c>
      <c r="F19" s="7" t="inlineStr"/>
      <c r="G19" s="7" t="inlineStr">
        <is>
          <t>INV-065</t>
        </is>
      </c>
      <c r="H19" s="7" t="inlineStr">
        <is>
          <t>EJEMPLAR 1</t>
        </is>
      </c>
      <c r="I19" s="7" t="inlineStr">
        <is>
          <t>INVENTARIO TRUEQUE.xlsx</t>
        </is>
      </c>
      <c r="J19" s="7" t="n">
        <v>67</v>
      </c>
      <c r="K19" s="7" t="inlineStr">
        <is>
          <t>65</t>
        </is>
      </c>
      <c r="L19" s="7" t="inlineStr">
        <is>
          <t>1</t>
        </is>
      </c>
      <c r="M19" s="7" t="inlineStr">
        <is>
          <t>Posible duplicado de: CH-005 (CH)</t>
        </is>
      </c>
      <c r="N19" s="7" t="inlineStr">
        <is>
          <t>POSIBLE_DUPLICADO_ENTRE_FUENTES</t>
        </is>
      </c>
      <c r="O19" s="7">
        <f>IFERROR(IF(VLOOKUP($A19,Recepcion!$A$2:$I$85,4,FALSE)="SÍ",IF(VLOOKUP($A19,Recepcion!$A$2:$I$85,5,FALSE)="ACEPTADO","DISPONIBLE",IF(VLOOKUP($A19,Recepcion!$A$2:$I$85,5,FALSE)="RECHAZADO","RECHAZADO","PENDIENTE_VERIFICACION")),IF(VLOOKUP($A19,Recepcion!$A$2:$I$85,4,FALSE)="NO","NO_PRESENTE","PENDIENTE_VERIFICACION")),"PENDIENTE_VERIFICACION")</f>
        <v/>
      </c>
      <c r="P19" s="7">
        <f>IF(O19="DISPONIBLE","SÍ","NO")</f>
        <v/>
      </c>
      <c r="Q19" s="7">
        <f>IF(COUNTIFS(Intercambios!$D$4:$D$103,A19,Intercambios!$G$4:$G$103,"REGISTRADO",Intercambios!$J$4:$J$103,"VÁLIDO")+COUNTIFS(Intercambios!$E$4:$E$103,A19,Intercambios!$G$4:$G$103,"REGISTRADO",Intercambios!$J$4:$J$103,"VÁLIDO")&gt;0,"INTERCAMBIADO",O19)</f>
        <v/>
      </c>
      <c r="R19" s="7">
        <f>IFERROR(VLOOKUP($A19,Recepcion!$A$2:$I$85,7,FALSE),"")</f>
        <v/>
      </c>
      <c r="S19" s="7">
        <f>IFERROR(VLOOKUP($A19,Recepcion!$A$2:$I$85,8,FALSE),"")</f>
        <v/>
      </c>
      <c r="T19" s="7">
        <f>IFERROR(VLOOKUP($A19,Recepcion!$A$2:$I$85,9,FALSE),"")</f>
        <v/>
      </c>
    </row>
    <row r="20">
      <c r="A20" s="7" t="inlineStr">
        <is>
          <t>INV-023</t>
        </is>
      </c>
      <c r="B20" s="7" t="inlineStr">
        <is>
          <t>BIB-015</t>
        </is>
      </c>
      <c r="C20" s="7" t="inlineStr">
        <is>
          <t>Del Secuestro y Otras Muertes</t>
        </is>
      </c>
      <c r="D20" s="7" t="inlineStr">
        <is>
          <t>Camilo Romero</t>
        </is>
      </c>
      <c r="E20" s="7" t="inlineStr">
        <is>
          <t>Intermedio</t>
        </is>
      </c>
      <c r="F20" s="7" t="inlineStr"/>
      <c r="G20" s="7" t="inlineStr">
        <is>
          <t>INV-023</t>
        </is>
      </c>
      <c r="H20" s="7" t="inlineStr">
        <is>
          <t>EJEMPLAR 1</t>
        </is>
      </c>
      <c r="I20" s="7" t="inlineStr">
        <is>
          <t>INVENTARIO TRUEQUE.xlsx</t>
        </is>
      </c>
      <c r="J20" s="7" t="n">
        <v>25</v>
      </c>
      <c r="K20" s="7" t="inlineStr">
        <is>
          <t>23</t>
        </is>
      </c>
      <c r="L20" s="7" t="inlineStr">
        <is>
          <t>1</t>
        </is>
      </c>
      <c r="M20" s="7" t="inlineStr"/>
      <c r="N20" s="7" t="inlineStr"/>
      <c r="O20" s="7">
        <f>IFERROR(IF(VLOOKUP($A20,Recepcion!$A$2:$I$85,4,FALSE)="SÍ",IF(VLOOKUP($A20,Recepcion!$A$2:$I$85,5,FALSE)="ACEPTADO","DISPONIBLE",IF(VLOOKUP($A20,Recepcion!$A$2:$I$85,5,FALSE)="RECHAZADO","RECHAZADO","PENDIENTE_VERIFICACION")),IF(VLOOKUP($A20,Recepcion!$A$2:$I$85,4,FALSE)="NO","NO_PRESENTE","PENDIENTE_VERIFICACION")),"PENDIENTE_VERIFICACION")</f>
        <v/>
      </c>
      <c r="P20" s="7">
        <f>IF(O20="DISPONIBLE","SÍ","NO")</f>
        <v/>
      </c>
      <c r="Q20" s="7">
        <f>IF(COUNTIFS(Intercambios!$D$4:$D$103,A20,Intercambios!$G$4:$G$103,"REGISTRADO",Intercambios!$J$4:$J$103,"VÁLIDO")+COUNTIFS(Intercambios!$E$4:$E$103,A20,Intercambios!$G$4:$G$103,"REGISTRADO",Intercambios!$J$4:$J$103,"VÁLIDO")&gt;0,"INTERCAMBIADO",O20)</f>
        <v/>
      </c>
      <c r="R20" s="7">
        <f>IFERROR(VLOOKUP($A20,Recepcion!$A$2:$I$85,7,FALSE),"")</f>
        <v/>
      </c>
      <c r="S20" s="7">
        <f>IFERROR(VLOOKUP($A20,Recepcion!$A$2:$I$85,8,FALSE),"")</f>
        <v/>
      </c>
      <c r="T20" s="7">
        <f>IFERROR(VLOOKUP($A20,Recepcion!$A$2:$I$85,9,FALSE),"")</f>
        <v/>
      </c>
    </row>
    <row r="21">
      <c r="A21" s="7" t="inlineStr">
        <is>
          <t>INV-004</t>
        </is>
      </c>
      <c r="B21" s="7" t="inlineStr">
        <is>
          <t>BIB-016</t>
        </is>
      </c>
      <c r="C21" s="7" t="inlineStr">
        <is>
          <t>Despues de el. Secuela</t>
        </is>
      </c>
      <c r="D21" s="7" t="inlineStr">
        <is>
          <t>Flor Salvador</t>
        </is>
      </c>
      <c r="E21" s="7" t="inlineStr">
        <is>
          <t>N/E</t>
        </is>
      </c>
      <c r="F21" s="7" t="inlineStr"/>
      <c r="G21" s="7" t="inlineStr">
        <is>
          <t>INV-004</t>
        </is>
      </c>
      <c r="H21" s="7" t="inlineStr">
        <is>
          <t>EJEMPLAR 1</t>
        </is>
      </c>
      <c r="I21" s="7" t="inlineStr">
        <is>
          <t>INVENTARIO TRUEQUE.xlsx</t>
        </is>
      </c>
      <c r="J21" s="7" t="n">
        <v>6</v>
      </c>
      <c r="K21" s="7" t="inlineStr">
        <is>
          <t>4</t>
        </is>
      </c>
      <c r="L21" s="7" t="inlineStr">
        <is>
          <t>1</t>
        </is>
      </c>
      <c r="M21" s="7" t="inlineStr"/>
      <c r="N21" s="7" t="inlineStr"/>
      <c r="O21" s="7">
        <f>IFERROR(IF(VLOOKUP($A21,Recepcion!$A$2:$I$85,4,FALSE)="SÍ",IF(VLOOKUP($A21,Recepcion!$A$2:$I$85,5,FALSE)="ACEPTADO","DISPONIBLE",IF(VLOOKUP($A21,Recepcion!$A$2:$I$85,5,FALSE)="RECHAZADO","RECHAZADO","PENDIENTE_VERIFICACION")),IF(VLOOKUP($A21,Recepcion!$A$2:$I$85,4,FALSE)="NO","NO_PRESENTE","PENDIENTE_VERIFICACION")),"PENDIENTE_VERIFICACION")</f>
        <v/>
      </c>
      <c r="P21" s="7">
        <f>IF(O21="DISPONIBLE","SÍ","NO")</f>
        <v/>
      </c>
      <c r="Q21" s="7">
        <f>IF(COUNTIFS(Intercambios!$D$4:$D$103,A21,Intercambios!$G$4:$G$103,"REGISTRADO",Intercambios!$J$4:$J$103,"VÁLIDO")+COUNTIFS(Intercambios!$E$4:$E$103,A21,Intercambios!$G$4:$G$103,"REGISTRADO",Intercambios!$J$4:$J$103,"VÁLIDO")&gt;0,"INTERCAMBIADO",O21)</f>
        <v/>
      </c>
      <c r="R21" s="7">
        <f>IFERROR(VLOOKUP($A21,Recepcion!$A$2:$I$85,7,FALSE),"")</f>
        <v/>
      </c>
      <c r="S21" s="7">
        <f>IFERROR(VLOOKUP($A21,Recepcion!$A$2:$I$85,8,FALSE),"")</f>
        <v/>
      </c>
      <c r="T21" s="7">
        <f>IFERROR(VLOOKUP($A21,Recepcion!$A$2:$I$85,9,FALSE),"")</f>
        <v/>
      </c>
    </row>
    <row r="22">
      <c r="A22" s="7" t="inlineStr">
        <is>
          <t>INV-054</t>
        </is>
      </c>
      <c r="B22" s="7" t="inlineStr">
        <is>
          <t>BIB-017</t>
        </is>
      </c>
      <c r="C22" s="7" t="inlineStr">
        <is>
          <t>Duespues del Funeral</t>
        </is>
      </c>
      <c r="D22" s="7" t="inlineStr">
        <is>
          <t>Agatha Christie</t>
        </is>
      </c>
      <c r="E22" s="7" t="inlineStr">
        <is>
          <t>Circulo de Lectores</t>
        </is>
      </c>
      <c r="F22" s="7" t="inlineStr"/>
      <c r="G22" s="7" t="inlineStr">
        <is>
          <t>INV-054</t>
        </is>
      </c>
      <c r="H22" s="7" t="inlineStr">
        <is>
          <t>EJEMPLAR 1</t>
        </is>
      </c>
      <c r="I22" s="7" t="inlineStr">
        <is>
          <t>INVENTARIO TRUEQUE.xlsx</t>
        </is>
      </c>
      <c r="J22" s="7" t="n">
        <v>56</v>
      </c>
      <c r="K22" s="7" t="inlineStr">
        <is>
          <t>54</t>
        </is>
      </c>
      <c r="L22" s="7" t="inlineStr">
        <is>
          <t>1</t>
        </is>
      </c>
      <c r="M22" s="7" t="inlineStr"/>
      <c r="N22" s="7" t="inlineStr"/>
      <c r="O22" s="7">
        <f>IFERROR(IF(VLOOKUP($A22,Recepcion!$A$2:$I$85,4,FALSE)="SÍ",IF(VLOOKUP($A22,Recepcion!$A$2:$I$85,5,FALSE)="ACEPTADO","DISPONIBLE",IF(VLOOKUP($A22,Recepcion!$A$2:$I$85,5,FALSE)="RECHAZADO","RECHAZADO","PENDIENTE_VERIFICACION")),IF(VLOOKUP($A22,Recepcion!$A$2:$I$85,4,FALSE)="NO","NO_PRESENTE","PENDIENTE_VERIFICACION")),"PENDIENTE_VERIFICACION")</f>
        <v/>
      </c>
      <c r="P22" s="7">
        <f>IF(O22="DISPONIBLE","SÍ","NO")</f>
        <v/>
      </c>
      <c r="Q22" s="7">
        <f>IF(COUNTIFS(Intercambios!$D$4:$D$103,A22,Intercambios!$G$4:$G$103,"REGISTRADO",Intercambios!$J$4:$J$103,"VÁLIDO")+COUNTIFS(Intercambios!$E$4:$E$103,A22,Intercambios!$G$4:$G$103,"REGISTRADO",Intercambios!$J$4:$J$103,"VÁLIDO")&gt;0,"INTERCAMBIADO",O22)</f>
        <v/>
      </c>
      <c r="R22" s="7">
        <f>IFERROR(VLOOKUP($A22,Recepcion!$A$2:$I$85,7,FALSE),"")</f>
        <v/>
      </c>
      <c r="S22" s="7">
        <f>IFERROR(VLOOKUP($A22,Recepcion!$A$2:$I$85,8,FALSE),"")</f>
        <v/>
      </c>
      <c r="T22" s="7">
        <f>IFERROR(VLOOKUP($A22,Recepcion!$A$2:$I$85,9,FALSE),"")</f>
        <v/>
      </c>
    </row>
    <row r="23">
      <c r="A23" s="7" t="inlineStr">
        <is>
          <t>CH-011</t>
        </is>
      </c>
      <c r="B23" s="7" t="inlineStr">
        <is>
          <t>BIB-018</t>
        </is>
      </c>
      <c r="C23" s="7" t="inlineStr">
        <is>
          <t>El Abrazo</t>
        </is>
      </c>
      <c r="D23" s="7" t="inlineStr">
        <is>
          <t>Bojunga Lygia</t>
        </is>
      </c>
      <c r="E23" s="7" t="inlineStr">
        <is>
          <t>Norma</t>
        </is>
      </c>
      <c r="F23" s="7" t="inlineStr">
        <is>
          <t>9789580471578</t>
        </is>
      </c>
      <c r="G23" s="7" t="inlineStr">
        <is>
          <t>CH-011</t>
        </is>
      </c>
      <c r="H23" s="7" t="inlineStr">
        <is>
          <t>ITEM 11</t>
        </is>
      </c>
      <c r="I23" s="7" t="inlineStr">
        <is>
          <t>Libros para el Trueque Literario CH.xlsx</t>
        </is>
      </c>
      <c r="J23" s="7" t="n">
        <v>12</v>
      </c>
      <c r="K23" s="7" t="inlineStr">
        <is>
          <t>11</t>
        </is>
      </c>
      <c r="L23" s="7" t="inlineStr"/>
      <c r="M23" s="7" t="inlineStr"/>
      <c r="N23" s="7" t="inlineStr"/>
      <c r="O23" s="7">
        <f>IFERROR(IF(VLOOKUP($A23,Recepcion!$A$2:$I$85,4,FALSE)="SÍ",IF(VLOOKUP($A23,Recepcion!$A$2:$I$85,5,FALSE)="ACEPTADO","DISPONIBLE",IF(VLOOKUP($A23,Recepcion!$A$2:$I$85,5,FALSE)="RECHAZADO","RECHAZADO","PENDIENTE_VERIFICACION")),IF(VLOOKUP($A23,Recepcion!$A$2:$I$85,4,FALSE)="NO","NO_PRESENTE","PENDIENTE_VERIFICACION")),"PENDIENTE_VERIFICACION")</f>
        <v/>
      </c>
      <c r="P23" s="7">
        <f>IF(O23="DISPONIBLE","SÍ","NO")</f>
        <v/>
      </c>
      <c r="Q23" s="7">
        <f>IF(COUNTIFS(Intercambios!$D$4:$D$103,A23,Intercambios!$G$4:$G$103,"REGISTRADO",Intercambios!$J$4:$J$103,"VÁLIDO")+COUNTIFS(Intercambios!$E$4:$E$103,A23,Intercambios!$G$4:$G$103,"REGISTRADO",Intercambios!$J$4:$J$103,"VÁLIDO")&gt;0,"INTERCAMBIADO",O23)</f>
        <v/>
      </c>
      <c r="R23" s="7">
        <f>IFERROR(VLOOKUP($A23,Recepcion!$A$2:$I$85,7,FALSE),"")</f>
        <v/>
      </c>
      <c r="S23" s="7">
        <f>IFERROR(VLOOKUP($A23,Recepcion!$A$2:$I$85,8,FALSE),"")</f>
        <v/>
      </c>
      <c r="T23" s="7">
        <f>IFERROR(VLOOKUP($A23,Recepcion!$A$2:$I$85,9,FALSE),"")</f>
        <v/>
      </c>
    </row>
    <row r="24">
      <c r="A24" s="7" t="inlineStr">
        <is>
          <t>INV-013</t>
        </is>
      </c>
      <c r="B24" s="7" t="inlineStr">
        <is>
          <t>BIB-019</t>
        </is>
      </c>
      <c r="C24" s="7" t="inlineStr">
        <is>
          <t>El Alquimista</t>
        </is>
      </c>
      <c r="D24" s="7" t="inlineStr">
        <is>
          <t>Paulo Coelho</t>
        </is>
      </c>
      <c r="E24" s="7" t="inlineStr">
        <is>
          <t>N/E</t>
        </is>
      </c>
      <c r="F24" s="7" t="inlineStr"/>
      <c r="G24" s="7" t="inlineStr">
        <is>
          <t>INV-013</t>
        </is>
      </c>
      <c r="H24" s="7" t="inlineStr">
        <is>
          <t>EJEMPLAR 1</t>
        </is>
      </c>
      <c r="I24" s="7" t="inlineStr">
        <is>
          <t>INVENTARIO TRUEQUE.xlsx</t>
        </is>
      </c>
      <c r="J24" s="7" t="n">
        <v>15</v>
      </c>
      <c r="K24" s="7" t="inlineStr">
        <is>
          <t>13</t>
        </is>
      </c>
      <c r="L24" s="7" t="inlineStr">
        <is>
          <t>1</t>
        </is>
      </c>
      <c r="M24" s="7" t="inlineStr"/>
      <c r="N24" s="7" t="inlineStr"/>
      <c r="O24" s="7">
        <f>IFERROR(IF(VLOOKUP($A24,Recepcion!$A$2:$I$85,4,FALSE)="SÍ",IF(VLOOKUP($A24,Recepcion!$A$2:$I$85,5,FALSE)="ACEPTADO","DISPONIBLE",IF(VLOOKUP($A24,Recepcion!$A$2:$I$85,5,FALSE)="RECHAZADO","RECHAZADO","PENDIENTE_VERIFICACION")),IF(VLOOKUP($A24,Recepcion!$A$2:$I$85,4,FALSE)="NO","NO_PRESENTE","PENDIENTE_VERIFICACION")),"PENDIENTE_VERIFICACION")</f>
        <v/>
      </c>
      <c r="P24" s="7">
        <f>IF(O24="DISPONIBLE","SÍ","NO")</f>
        <v/>
      </c>
      <c r="Q24" s="7">
        <f>IF(COUNTIFS(Intercambios!$D$4:$D$103,A24,Intercambios!$G$4:$G$103,"REGISTRADO",Intercambios!$J$4:$J$103,"VÁLIDO")+COUNTIFS(Intercambios!$E$4:$E$103,A24,Intercambios!$G$4:$G$103,"REGISTRADO",Intercambios!$J$4:$J$103,"VÁLIDO")&gt;0,"INTERCAMBIADO",O24)</f>
        <v/>
      </c>
      <c r="R24" s="7">
        <f>IFERROR(VLOOKUP($A24,Recepcion!$A$2:$I$85,7,FALSE),"")</f>
        <v/>
      </c>
      <c r="S24" s="7">
        <f>IFERROR(VLOOKUP($A24,Recepcion!$A$2:$I$85,8,FALSE),"")</f>
        <v/>
      </c>
      <c r="T24" s="7">
        <f>IFERROR(VLOOKUP($A24,Recepcion!$A$2:$I$85,9,FALSE),"")</f>
        <v/>
      </c>
    </row>
    <row r="25">
      <c r="A25" s="7" t="inlineStr">
        <is>
          <t>INV-005</t>
        </is>
      </c>
      <c r="B25" s="7" t="inlineStr">
        <is>
          <t>BIB-020</t>
        </is>
      </c>
      <c r="C25" s="7" t="inlineStr">
        <is>
          <t>El Camino de la Felicidad</t>
        </is>
      </c>
      <c r="D25" s="7" t="inlineStr">
        <is>
          <t>Jorge Bucay</t>
        </is>
      </c>
      <c r="E25" s="7" t="inlineStr">
        <is>
          <t>Debolsillo</t>
        </is>
      </c>
      <c r="F25" s="7" t="inlineStr"/>
      <c r="G25" s="7" t="inlineStr">
        <is>
          <t>INV-005</t>
        </is>
      </c>
      <c r="H25" s="7" t="inlineStr">
        <is>
          <t>EJEMPLAR 1</t>
        </is>
      </c>
      <c r="I25" s="7" t="inlineStr">
        <is>
          <t>INVENTARIO TRUEQUE.xlsx</t>
        </is>
      </c>
      <c r="J25" s="7" t="n">
        <v>7</v>
      </c>
      <c r="K25" s="7" t="inlineStr">
        <is>
          <t>5</t>
        </is>
      </c>
      <c r="L25" s="7" t="inlineStr">
        <is>
          <t>1</t>
        </is>
      </c>
      <c r="M25" s="7" t="inlineStr"/>
      <c r="N25" s="7" t="inlineStr"/>
      <c r="O25" s="7">
        <f>IFERROR(IF(VLOOKUP($A25,Recepcion!$A$2:$I$85,4,FALSE)="SÍ",IF(VLOOKUP($A25,Recepcion!$A$2:$I$85,5,FALSE)="ACEPTADO","DISPONIBLE",IF(VLOOKUP($A25,Recepcion!$A$2:$I$85,5,FALSE)="RECHAZADO","RECHAZADO","PENDIENTE_VERIFICACION")),IF(VLOOKUP($A25,Recepcion!$A$2:$I$85,4,FALSE)="NO","NO_PRESENTE","PENDIENTE_VERIFICACION")),"PENDIENTE_VERIFICACION")</f>
        <v/>
      </c>
      <c r="P25" s="7">
        <f>IF(O25="DISPONIBLE","SÍ","NO")</f>
        <v/>
      </c>
      <c r="Q25" s="7">
        <f>IF(COUNTIFS(Intercambios!$D$4:$D$103,A25,Intercambios!$G$4:$G$103,"REGISTRADO",Intercambios!$J$4:$J$103,"VÁLIDO")+COUNTIFS(Intercambios!$E$4:$E$103,A25,Intercambios!$G$4:$G$103,"REGISTRADO",Intercambios!$J$4:$J$103,"VÁLIDO")&gt;0,"INTERCAMBIADO",O25)</f>
        <v/>
      </c>
      <c r="R25" s="7">
        <f>IFERROR(VLOOKUP($A25,Recepcion!$A$2:$I$85,7,FALSE),"")</f>
        <v/>
      </c>
      <c r="S25" s="7">
        <f>IFERROR(VLOOKUP($A25,Recepcion!$A$2:$I$85,8,FALSE),"")</f>
        <v/>
      </c>
      <c r="T25" s="7">
        <f>IFERROR(VLOOKUP($A25,Recepcion!$A$2:$I$85,9,FALSE),"")</f>
        <v/>
      </c>
    </row>
    <row r="26">
      <c r="A26" s="7" t="inlineStr">
        <is>
          <t>INV-021</t>
        </is>
      </c>
      <c r="B26" s="7" t="inlineStr">
        <is>
          <t>BIB-021</t>
        </is>
      </c>
      <c r="C26" s="7" t="inlineStr">
        <is>
          <t>El Cuaderno de Notas de Miguel</t>
        </is>
      </c>
      <c r="D26" s="7" t="inlineStr">
        <is>
          <t>Pedro Conrado Cudriz</t>
        </is>
      </c>
      <c r="E26" s="7" t="inlineStr">
        <is>
          <t>Sibila</t>
        </is>
      </c>
      <c r="F26" s="7" t="inlineStr"/>
      <c r="G26" s="7" t="inlineStr">
        <is>
          <t>INV-021</t>
        </is>
      </c>
      <c r="H26" s="7" t="inlineStr">
        <is>
          <t>EJEMPLAR 1</t>
        </is>
      </c>
      <c r="I26" s="7" t="inlineStr">
        <is>
          <t>INVENTARIO TRUEQUE.xlsx</t>
        </is>
      </c>
      <c r="J26" s="7" t="n">
        <v>23</v>
      </c>
      <c r="K26" s="7" t="inlineStr">
        <is>
          <t>21</t>
        </is>
      </c>
      <c r="L26" s="7" t="inlineStr">
        <is>
          <t>1</t>
        </is>
      </c>
      <c r="M26" s="7" t="inlineStr"/>
      <c r="N26" s="7" t="inlineStr"/>
      <c r="O26" s="7">
        <f>IFERROR(IF(VLOOKUP($A26,Recepcion!$A$2:$I$85,4,FALSE)="SÍ",IF(VLOOKUP($A26,Recepcion!$A$2:$I$85,5,FALSE)="ACEPTADO","DISPONIBLE",IF(VLOOKUP($A26,Recepcion!$A$2:$I$85,5,FALSE)="RECHAZADO","RECHAZADO","PENDIENTE_VERIFICACION")),IF(VLOOKUP($A26,Recepcion!$A$2:$I$85,4,FALSE)="NO","NO_PRESENTE","PENDIENTE_VERIFICACION")),"PENDIENTE_VERIFICACION")</f>
        <v/>
      </c>
      <c r="P26" s="7">
        <f>IF(O26="DISPONIBLE","SÍ","NO")</f>
        <v/>
      </c>
      <c r="Q26" s="7">
        <f>IF(COUNTIFS(Intercambios!$D$4:$D$103,A26,Intercambios!$G$4:$G$103,"REGISTRADO",Intercambios!$J$4:$J$103,"VÁLIDO")+COUNTIFS(Intercambios!$E$4:$E$103,A26,Intercambios!$G$4:$G$103,"REGISTRADO",Intercambios!$J$4:$J$103,"VÁLIDO")&gt;0,"INTERCAMBIADO",O26)</f>
        <v/>
      </c>
      <c r="R26" s="7">
        <f>IFERROR(VLOOKUP($A26,Recepcion!$A$2:$I$85,7,FALSE),"")</f>
        <v/>
      </c>
      <c r="S26" s="7">
        <f>IFERROR(VLOOKUP($A26,Recepcion!$A$2:$I$85,8,FALSE),"")</f>
        <v/>
      </c>
      <c r="T26" s="7">
        <f>IFERROR(VLOOKUP($A26,Recepcion!$A$2:$I$85,9,FALSE),"")</f>
        <v/>
      </c>
    </row>
    <row r="27">
      <c r="A27" s="7" t="inlineStr">
        <is>
          <t>INV-045</t>
        </is>
      </c>
      <c r="B27" s="7" t="inlineStr">
        <is>
          <t>BIB-022</t>
        </is>
      </c>
      <c r="C27" s="7" t="inlineStr">
        <is>
          <t>El Dia del Odio</t>
        </is>
      </c>
      <c r="D27" s="7" t="inlineStr">
        <is>
          <t>Osorio Lizarazo</t>
        </is>
      </c>
      <c r="E27" s="7" t="inlineStr">
        <is>
          <t>N/E</t>
        </is>
      </c>
      <c r="F27" s="7" t="inlineStr"/>
      <c r="G27" s="7" t="inlineStr">
        <is>
          <t>INV-045</t>
        </is>
      </c>
      <c r="H27" s="7" t="inlineStr">
        <is>
          <t>EJEMPLAR 1</t>
        </is>
      </c>
      <c r="I27" s="7" t="inlineStr">
        <is>
          <t>INVENTARIO TRUEQUE.xlsx</t>
        </is>
      </c>
      <c r="J27" s="7" t="n">
        <v>47</v>
      </c>
      <c r="K27" s="7" t="inlineStr">
        <is>
          <t>45</t>
        </is>
      </c>
      <c r="L27" s="7" t="inlineStr">
        <is>
          <t>1</t>
        </is>
      </c>
      <c r="M27" s="7" t="inlineStr"/>
      <c r="N27" s="7" t="inlineStr"/>
      <c r="O27" s="7">
        <f>IFERROR(IF(VLOOKUP($A27,Recepcion!$A$2:$I$85,4,FALSE)="SÍ",IF(VLOOKUP($A27,Recepcion!$A$2:$I$85,5,FALSE)="ACEPTADO","DISPONIBLE",IF(VLOOKUP($A27,Recepcion!$A$2:$I$85,5,FALSE)="RECHAZADO","RECHAZADO","PENDIENTE_VERIFICACION")),IF(VLOOKUP($A27,Recepcion!$A$2:$I$85,4,FALSE)="NO","NO_PRESENTE","PENDIENTE_VERIFICACION")),"PENDIENTE_VERIFICACION")</f>
        <v/>
      </c>
      <c r="P27" s="7">
        <f>IF(O27="DISPONIBLE","SÍ","NO")</f>
        <v/>
      </c>
      <c r="Q27" s="7">
        <f>IF(COUNTIFS(Intercambios!$D$4:$D$103,A27,Intercambios!$G$4:$G$103,"REGISTRADO",Intercambios!$J$4:$J$103,"VÁLIDO")+COUNTIFS(Intercambios!$E$4:$E$103,A27,Intercambios!$G$4:$G$103,"REGISTRADO",Intercambios!$J$4:$J$103,"VÁLIDO")&gt;0,"INTERCAMBIADO",O27)</f>
        <v/>
      </c>
      <c r="R27" s="7">
        <f>IFERROR(VLOOKUP($A27,Recepcion!$A$2:$I$85,7,FALSE),"")</f>
        <v/>
      </c>
      <c r="S27" s="7">
        <f>IFERROR(VLOOKUP($A27,Recepcion!$A$2:$I$85,8,FALSE),"")</f>
        <v/>
      </c>
      <c r="T27" s="7">
        <f>IFERROR(VLOOKUP($A27,Recepcion!$A$2:$I$85,9,FALSE),"")</f>
        <v/>
      </c>
    </row>
    <row r="28">
      <c r="A28" s="7" t="inlineStr">
        <is>
          <t>INV-057</t>
        </is>
      </c>
      <c r="B28" s="7" t="inlineStr">
        <is>
          <t>BIB-023</t>
        </is>
      </c>
      <c r="C28" s="7" t="inlineStr">
        <is>
          <t>El Diablo de la Botella</t>
        </is>
      </c>
      <c r="D28" s="7" t="inlineStr">
        <is>
          <t>Robert Louis Stevenson</t>
        </is>
      </c>
      <c r="E28" s="7" t="inlineStr">
        <is>
          <t>Norma</t>
        </is>
      </c>
      <c r="F28" s="7" t="inlineStr"/>
      <c r="G28" s="7" t="inlineStr">
        <is>
          <t>INV-057</t>
        </is>
      </c>
      <c r="H28" s="7" t="inlineStr">
        <is>
          <t>EJEMPLAR 1</t>
        </is>
      </c>
      <c r="I28" s="7" t="inlineStr">
        <is>
          <t>INVENTARIO TRUEQUE.xlsx</t>
        </is>
      </c>
      <c r="J28" s="7" t="n">
        <v>59</v>
      </c>
      <c r="K28" s="7" t="inlineStr">
        <is>
          <t>57</t>
        </is>
      </c>
      <c r="L28" s="7" t="inlineStr">
        <is>
          <t>1</t>
        </is>
      </c>
      <c r="M28" s="7" t="inlineStr"/>
      <c r="N28" s="7" t="inlineStr"/>
      <c r="O28" s="7">
        <f>IFERROR(IF(VLOOKUP($A28,Recepcion!$A$2:$I$85,4,FALSE)="SÍ",IF(VLOOKUP($A28,Recepcion!$A$2:$I$85,5,FALSE)="ACEPTADO","DISPONIBLE",IF(VLOOKUP($A28,Recepcion!$A$2:$I$85,5,FALSE)="RECHAZADO","RECHAZADO","PENDIENTE_VERIFICACION")),IF(VLOOKUP($A28,Recepcion!$A$2:$I$85,4,FALSE)="NO","NO_PRESENTE","PENDIENTE_VERIFICACION")),"PENDIENTE_VERIFICACION")</f>
        <v/>
      </c>
      <c r="P28" s="7">
        <f>IF(O28="DISPONIBLE","SÍ","NO")</f>
        <v/>
      </c>
      <c r="Q28" s="7">
        <f>IF(COUNTIFS(Intercambios!$D$4:$D$103,A28,Intercambios!$G$4:$G$103,"REGISTRADO",Intercambios!$J$4:$J$103,"VÁLIDO")+COUNTIFS(Intercambios!$E$4:$E$103,A28,Intercambios!$G$4:$G$103,"REGISTRADO",Intercambios!$J$4:$J$103,"VÁLIDO")&gt;0,"INTERCAMBIADO",O28)</f>
        <v/>
      </c>
      <c r="R28" s="7">
        <f>IFERROR(VLOOKUP($A28,Recepcion!$A$2:$I$85,7,FALSE),"")</f>
        <v/>
      </c>
      <c r="S28" s="7">
        <f>IFERROR(VLOOKUP($A28,Recepcion!$A$2:$I$85,8,FALSE),"")</f>
        <v/>
      </c>
      <c r="T28" s="7">
        <f>IFERROR(VLOOKUP($A28,Recepcion!$A$2:$I$85,9,FALSE),"")</f>
        <v/>
      </c>
    </row>
    <row r="29">
      <c r="A29" s="7" t="inlineStr">
        <is>
          <t>INV-035</t>
        </is>
      </c>
      <c r="B29" s="7" t="inlineStr">
        <is>
          <t>BIB-024</t>
        </is>
      </c>
      <c r="C29" s="7" t="inlineStr">
        <is>
          <t>El Extraño Caso del DR. Jekylly MR. Hyde</t>
        </is>
      </c>
      <c r="D29" s="7" t="inlineStr">
        <is>
          <t>Stevenson</t>
        </is>
      </c>
      <c r="E29" s="7" t="inlineStr">
        <is>
          <t>Norma</t>
        </is>
      </c>
      <c r="F29" s="7" t="inlineStr"/>
      <c r="G29" s="7" t="inlineStr">
        <is>
          <t>INV-035</t>
        </is>
      </c>
      <c r="H29" s="7" t="inlineStr">
        <is>
          <t>EJEMPLAR 1</t>
        </is>
      </c>
      <c r="I29" s="7" t="inlineStr">
        <is>
          <t>INVENTARIO TRUEQUE.xlsx</t>
        </is>
      </c>
      <c r="J29" s="7" t="n">
        <v>37</v>
      </c>
      <c r="K29" s="7" t="inlineStr">
        <is>
          <t>35</t>
        </is>
      </c>
      <c r="L29" s="7" t="inlineStr">
        <is>
          <t>1</t>
        </is>
      </c>
      <c r="M29" s="7" t="inlineStr"/>
      <c r="N29" s="7" t="inlineStr"/>
      <c r="O29" s="7">
        <f>IFERROR(IF(VLOOKUP($A29,Recepcion!$A$2:$I$85,4,FALSE)="SÍ",IF(VLOOKUP($A29,Recepcion!$A$2:$I$85,5,FALSE)="ACEPTADO","DISPONIBLE",IF(VLOOKUP($A29,Recepcion!$A$2:$I$85,5,FALSE)="RECHAZADO","RECHAZADO","PENDIENTE_VERIFICACION")),IF(VLOOKUP($A29,Recepcion!$A$2:$I$85,4,FALSE)="NO","NO_PRESENTE","PENDIENTE_VERIFICACION")),"PENDIENTE_VERIFICACION")</f>
        <v/>
      </c>
      <c r="P29" s="7">
        <f>IF(O29="DISPONIBLE","SÍ","NO")</f>
        <v/>
      </c>
      <c r="Q29" s="7">
        <f>IF(COUNTIFS(Intercambios!$D$4:$D$103,A29,Intercambios!$G$4:$G$103,"REGISTRADO",Intercambios!$J$4:$J$103,"VÁLIDO")+COUNTIFS(Intercambios!$E$4:$E$103,A29,Intercambios!$G$4:$G$103,"REGISTRADO",Intercambios!$J$4:$J$103,"VÁLIDO")&gt;0,"INTERCAMBIADO",O29)</f>
        <v/>
      </c>
      <c r="R29" s="7">
        <f>IFERROR(VLOOKUP($A29,Recepcion!$A$2:$I$85,7,FALSE),"")</f>
        <v/>
      </c>
      <c r="S29" s="7">
        <f>IFERROR(VLOOKUP($A29,Recepcion!$A$2:$I$85,8,FALSE),"")</f>
        <v/>
      </c>
      <c r="T29" s="7">
        <f>IFERROR(VLOOKUP($A29,Recepcion!$A$2:$I$85,9,FALSE),"")</f>
        <v/>
      </c>
    </row>
    <row r="30">
      <c r="A30" s="7" t="inlineStr">
        <is>
          <t>INV-026</t>
        </is>
      </c>
      <c r="B30" s="7" t="inlineStr">
        <is>
          <t>BIB-025</t>
        </is>
      </c>
      <c r="C30" s="7" t="inlineStr">
        <is>
          <t>El Higado de Prometeo</t>
        </is>
      </c>
      <c r="D30" s="7" t="inlineStr">
        <is>
          <t>Jorge Bustos</t>
        </is>
      </c>
      <c r="E30" s="7" t="inlineStr">
        <is>
          <t>Nobel</t>
        </is>
      </c>
      <c r="F30" s="7" t="inlineStr"/>
      <c r="G30" s="7" t="inlineStr">
        <is>
          <t>INV-026</t>
        </is>
      </c>
      <c r="H30" s="7" t="inlineStr">
        <is>
          <t>EJEMPLAR 1</t>
        </is>
      </c>
      <c r="I30" s="7" t="inlineStr">
        <is>
          <t>INVENTARIO TRUEQUE.xlsx</t>
        </is>
      </c>
      <c r="J30" s="7" t="n">
        <v>28</v>
      </c>
      <c r="K30" s="7" t="inlineStr">
        <is>
          <t>26</t>
        </is>
      </c>
      <c r="L30" s="7" t="inlineStr">
        <is>
          <t>1</t>
        </is>
      </c>
      <c r="M30" s="7" t="inlineStr"/>
      <c r="N30" s="7" t="inlineStr"/>
      <c r="O30" s="7">
        <f>IFERROR(IF(VLOOKUP($A30,Recepcion!$A$2:$I$85,4,FALSE)="SÍ",IF(VLOOKUP($A30,Recepcion!$A$2:$I$85,5,FALSE)="ACEPTADO","DISPONIBLE",IF(VLOOKUP($A30,Recepcion!$A$2:$I$85,5,FALSE)="RECHAZADO","RECHAZADO","PENDIENTE_VERIFICACION")),IF(VLOOKUP($A30,Recepcion!$A$2:$I$85,4,FALSE)="NO","NO_PRESENTE","PENDIENTE_VERIFICACION")),"PENDIENTE_VERIFICACION")</f>
        <v/>
      </c>
      <c r="P30" s="7">
        <f>IF(O30="DISPONIBLE","SÍ","NO")</f>
        <v/>
      </c>
      <c r="Q30" s="7">
        <f>IF(COUNTIFS(Intercambios!$D$4:$D$103,A30,Intercambios!$G$4:$G$103,"REGISTRADO",Intercambios!$J$4:$J$103,"VÁLIDO")+COUNTIFS(Intercambios!$E$4:$E$103,A30,Intercambios!$G$4:$G$103,"REGISTRADO",Intercambios!$J$4:$J$103,"VÁLIDO")&gt;0,"INTERCAMBIADO",O30)</f>
        <v/>
      </c>
      <c r="R30" s="7">
        <f>IFERROR(VLOOKUP($A30,Recepcion!$A$2:$I$85,7,FALSE),"")</f>
        <v/>
      </c>
      <c r="S30" s="7">
        <f>IFERROR(VLOOKUP($A30,Recepcion!$A$2:$I$85,8,FALSE),"")</f>
        <v/>
      </c>
      <c r="T30" s="7">
        <f>IFERROR(VLOOKUP($A30,Recepcion!$A$2:$I$85,9,FALSE),"")</f>
        <v/>
      </c>
    </row>
    <row r="31">
      <c r="A31" s="7" t="inlineStr">
        <is>
          <t>CH-016</t>
        </is>
      </c>
      <c r="B31" s="7" t="inlineStr">
        <is>
          <t>BIB-026</t>
        </is>
      </c>
      <c r="C31" s="7" t="inlineStr">
        <is>
          <t>El joven Moriarty y la planta carnivora</t>
        </is>
      </c>
      <c r="D31" s="7" t="inlineStr">
        <is>
          <t>Rhei Sofía</t>
        </is>
      </c>
      <c r="E31" s="7" t="inlineStr">
        <is>
          <t>Norma</t>
        </is>
      </c>
      <c r="F31" s="7" t="inlineStr">
        <is>
          <t>9789587768114</t>
        </is>
      </c>
      <c r="G31" s="7" t="inlineStr">
        <is>
          <t>CH-016</t>
        </is>
      </c>
      <c r="H31" s="7" t="inlineStr">
        <is>
          <t>ITEM 16</t>
        </is>
      </c>
      <c r="I31" s="7" t="inlineStr">
        <is>
          <t>Libros para el Trueque Literario CH.xlsx</t>
        </is>
      </c>
      <c r="J31" s="7" t="n">
        <v>17</v>
      </c>
      <c r="K31" s="7" t="inlineStr">
        <is>
          <t>16</t>
        </is>
      </c>
      <c r="L31" s="7" t="inlineStr"/>
      <c r="M31" s="7" t="inlineStr"/>
      <c r="N31" s="7" t="inlineStr"/>
      <c r="O31" s="7">
        <f>IFERROR(IF(VLOOKUP($A31,Recepcion!$A$2:$I$85,4,FALSE)="SÍ",IF(VLOOKUP($A31,Recepcion!$A$2:$I$85,5,FALSE)="ACEPTADO","DISPONIBLE",IF(VLOOKUP($A31,Recepcion!$A$2:$I$85,5,FALSE)="RECHAZADO","RECHAZADO","PENDIENTE_VERIFICACION")),IF(VLOOKUP($A31,Recepcion!$A$2:$I$85,4,FALSE)="NO","NO_PRESENTE","PENDIENTE_VERIFICACION")),"PENDIENTE_VERIFICACION")</f>
        <v/>
      </c>
      <c r="P31" s="7">
        <f>IF(O31="DISPONIBLE","SÍ","NO")</f>
        <v/>
      </c>
      <c r="Q31" s="7">
        <f>IF(COUNTIFS(Intercambios!$D$4:$D$103,A31,Intercambios!$G$4:$G$103,"REGISTRADO",Intercambios!$J$4:$J$103,"VÁLIDO")+COUNTIFS(Intercambios!$E$4:$E$103,A31,Intercambios!$G$4:$G$103,"REGISTRADO",Intercambios!$J$4:$J$103,"VÁLIDO")&gt;0,"INTERCAMBIADO",O31)</f>
        <v/>
      </c>
      <c r="R31" s="7">
        <f>IFERROR(VLOOKUP($A31,Recepcion!$A$2:$I$85,7,FALSE),"")</f>
        <v/>
      </c>
      <c r="S31" s="7">
        <f>IFERROR(VLOOKUP($A31,Recepcion!$A$2:$I$85,8,FALSE),"")</f>
        <v/>
      </c>
      <c r="T31" s="7">
        <f>IFERROR(VLOOKUP($A31,Recepcion!$A$2:$I$85,9,FALSE),"")</f>
        <v/>
      </c>
    </row>
    <row r="32">
      <c r="A32" s="7" t="inlineStr">
        <is>
          <t>INV-033</t>
        </is>
      </c>
      <c r="B32" s="7" t="inlineStr">
        <is>
          <t>BIB-027</t>
        </is>
      </c>
      <c r="C32" s="7" t="inlineStr">
        <is>
          <t>El Llano en Llamas</t>
        </is>
      </c>
      <c r="D32" s="7" t="inlineStr">
        <is>
          <t>Juan Rulfo</t>
        </is>
      </c>
      <c r="E32" s="7" t="inlineStr">
        <is>
          <t>N/E</t>
        </is>
      </c>
      <c r="F32" s="7" t="inlineStr"/>
      <c r="G32" s="7" t="inlineStr">
        <is>
          <t>INV-033</t>
        </is>
      </c>
      <c r="H32" s="7" t="inlineStr">
        <is>
          <t>EJEMPLAR 1</t>
        </is>
      </c>
      <c r="I32" s="7" t="inlineStr">
        <is>
          <t>INVENTARIO TRUEQUE.xlsx</t>
        </is>
      </c>
      <c r="J32" s="7" t="n">
        <v>35</v>
      </c>
      <c r="K32" s="7" t="inlineStr">
        <is>
          <t>33</t>
        </is>
      </c>
      <c r="L32" s="7" t="inlineStr">
        <is>
          <t>1</t>
        </is>
      </c>
      <c r="M32" s="7" t="inlineStr"/>
      <c r="N32" s="7" t="inlineStr"/>
      <c r="O32" s="7">
        <f>IFERROR(IF(VLOOKUP($A32,Recepcion!$A$2:$I$85,4,FALSE)="SÍ",IF(VLOOKUP($A32,Recepcion!$A$2:$I$85,5,FALSE)="ACEPTADO","DISPONIBLE",IF(VLOOKUP($A32,Recepcion!$A$2:$I$85,5,FALSE)="RECHAZADO","RECHAZADO","PENDIENTE_VERIFICACION")),IF(VLOOKUP($A32,Recepcion!$A$2:$I$85,4,FALSE)="NO","NO_PRESENTE","PENDIENTE_VERIFICACION")),"PENDIENTE_VERIFICACION")</f>
        <v/>
      </c>
      <c r="P32" s="7">
        <f>IF(O32="DISPONIBLE","SÍ","NO")</f>
        <v/>
      </c>
      <c r="Q32" s="7">
        <f>IF(COUNTIFS(Intercambios!$D$4:$D$103,A32,Intercambios!$G$4:$G$103,"REGISTRADO",Intercambios!$J$4:$J$103,"VÁLIDO")+COUNTIFS(Intercambios!$E$4:$E$103,A32,Intercambios!$G$4:$G$103,"REGISTRADO",Intercambios!$J$4:$J$103,"VÁLIDO")&gt;0,"INTERCAMBIADO",O32)</f>
        <v/>
      </c>
      <c r="R32" s="7">
        <f>IFERROR(VLOOKUP($A32,Recepcion!$A$2:$I$85,7,FALSE),"")</f>
        <v/>
      </c>
      <c r="S32" s="7">
        <f>IFERROR(VLOOKUP($A32,Recepcion!$A$2:$I$85,8,FALSE),"")</f>
        <v/>
      </c>
      <c r="T32" s="7">
        <f>IFERROR(VLOOKUP($A32,Recepcion!$A$2:$I$85,9,FALSE),"")</f>
        <v/>
      </c>
    </row>
    <row r="33">
      <c r="A33" s="7" t="inlineStr">
        <is>
          <t>INV-019</t>
        </is>
      </c>
      <c r="B33" s="7" t="inlineStr">
        <is>
          <t>BIB-028</t>
        </is>
      </c>
      <c r="C33" s="7" t="inlineStr">
        <is>
          <t>El Lobo y los Siete Cabritos</t>
        </is>
      </c>
      <c r="D33" s="7" t="inlineStr">
        <is>
          <t>Christine NÖstlinger</t>
        </is>
      </c>
      <c r="E33" s="7" t="inlineStr">
        <is>
          <t>Norma</t>
        </is>
      </c>
      <c r="F33" s="7" t="inlineStr"/>
      <c r="G33" s="7" t="inlineStr">
        <is>
          <t>INV-019</t>
        </is>
      </c>
      <c r="H33" s="7" t="inlineStr">
        <is>
          <t>EJEMPLAR 1</t>
        </is>
      </c>
      <c r="I33" s="7" t="inlineStr">
        <is>
          <t>INVENTARIO TRUEQUE.xlsx</t>
        </is>
      </c>
      <c r="J33" s="7" t="n">
        <v>21</v>
      </c>
      <c r="K33" s="7" t="inlineStr">
        <is>
          <t>19</t>
        </is>
      </c>
      <c r="L33" s="7" t="inlineStr">
        <is>
          <t>1</t>
        </is>
      </c>
      <c r="M33" s="7" t="inlineStr"/>
      <c r="N33" s="7" t="inlineStr"/>
      <c r="O33" s="7">
        <f>IFERROR(IF(VLOOKUP($A33,Recepcion!$A$2:$I$85,4,FALSE)="SÍ",IF(VLOOKUP($A33,Recepcion!$A$2:$I$85,5,FALSE)="ACEPTADO","DISPONIBLE",IF(VLOOKUP($A33,Recepcion!$A$2:$I$85,5,FALSE)="RECHAZADO","RECHAZADO","PENDIENTE_VERIFICACION")),IF(VLOOKUP($A33,Recepcion!$A$2:$I$85,4,FALSE)="NO","NO_PRESENTE","PENDIENTE_VERIFICACION")),"PENDIENTE_VERIFICACION")</f>
        <v/>
      </c>
      <c r="P33" s="7">
        <f>IF(O33="DISPONIBLE","SÍ","NO")</f>
        <v/>
      </c>
      <c r="Q33" s="7">
        <f>IF(COUNTIFS(Intercambios!$D$4:$D$103,A33,Intercambios!$G$4:$G$103,"REGISTRADO",Intercambios!$J$4:$J$103,"VÁLIDO")+COUNTIFS(Intercambios!$E$4:$E$103,A33,Intercambios!$G$4:$G$103,"REGISTRADO",Intercambios!$J$4:$J$103,"VÁLIDO")&gt;0,"INTERCAMBIADO",O33)</f>
        <v/>
      </c>
      <c r="R33" s="7">
        <f>IFERROR(VLOOKUP($A33,Recepcion!$A$2:$I$85,7,FALSE),"")</f>
        <v/>
      </c>
      <c r="S33" s="7">
        <f>IFERROR(VLOOKUP($A33,Recepcion!$A$2:$I$85,8,FALSE),"")</f>
        <v/>
      </c>
      <c r="T33" s="7">
        <f>IFERROR(VLOOKUP($A33,Recepcion!$A$2:$I$85,9,FALSE),"")</f>
        <v/>
      </c>
    </row>
    <row r="34">
      <c r="A34" s="7" t="inlineStr">
        <is>
          <t>INV-025</t>
        </is>
      </c>
      <c r="B34" s="7" t="inlineStr">
        <is>
          <t>BIB-029</t>
        </is>
      </c>
      <c r="C34" s="7" t="inlineStr">
        <is>
          <t>El Manuscrito Encontrado en Accra</t>
        </is>
      </c>
      <c r="D34" s="7" t="inlineStr">
        <is>
          <t>Paulo Coelho</t>
        </is>
      </c>
      <c r="E34" s="7" t="inlineStr">
        <is>
          <t>Grijalbo</t>
        </is>
      </c>
      <c r="F34" s="7" t="inlineStr"/>
      <c r="G34" s="7" t="inlineStr">
        <is>
          <t>INV-025</t>
        </is>
      </c>
      <c r="H34" s="7" t="inlineStr">
        <is>
          <t>EJEMPLAR 1</t>
        </is>
      </c>
      <c r="I34" s="7" t="inlineStr">
        <is>
          <t>INVENTARIO TRUEQUE.xlsx</t>
        </is>
      </c>
      <c r="J34" s="7" t="n">
        <v>27</v>
      </c>
      <c r="K34" s="7" t="inlineStr">
        <is>
          <t>25</t>
        </is>
      </c>
      <c r="L34" s="7" t="inlineStr">
        <is>
          <t>1</t>
        </is>
      </c>
      <c r="M34" s="7" t="inlineStr"/>
      <c r="N34" s="7" t="inlineStr"/>
      <c r="O34" s="7">
        <f>IFERROR(IF(VLOOKUP($A34,Recepcion!$A$2:$I$85,4,FALSE)="SÍ",IF(VLOOKUP($A34,Recepcion!$A$2:$I$85,5,FALSE)="ACEPTADO","DISPONIBLE",IF(VLOOKUP($A34,Recepcion!$A$2:$I$85,5,FALSE)="RECHAZADO","RECHAZADO","PENDIENTE_VERIFICACION")),IF(VLOOKUP($A34,Recepcion!$A$2:$I$85,4,FALSE)="NO","NO_PRESENTE","PENDIENTE_VERIFICACION")),"PENDIENTE_VERIFICACION")</f>
        <v/>
      </c>
      <c r="P34" s="7">
        <f>IF(O34="DISPONIBLE","SÍ","NO")</f>
        <v/>
      </c>
      <c r="Q34" s="7">
        <f>IF(COUNTIFS(Intercambios!$D$4:$D$103,A34,Intercambios!$G$4:$G$103,"REGISTRADO",Intercambios!$J$4:$J$103,"VÁLIDO")+COUNTIFS(Intercambios!$E$4:$E$103,A34,Intercambios!$G$4:$G$103,"REGISTRADO",Intercambios!$J$4:$J$103,"VÁLIDO")&gt;0,"INTERCAMBIADO",O34)</f>
        <v/>
      </c>
      <c r="R34" s="7">
        <f>IFERROR(VLOOKUP($A34,Recepcion!$A$2:$I$85,7,FALSE),"")</f>
        <v/>
      </c>
      <c r="S34" s="7">
        <f>IFERROR(VLOOKUP($A34,Recepcion!$A$2:$I$85,8,FALSE),"")</f>
        <v/>
      </c>
      <c r="T34" s="7">
        <f>IFERROR(VLOOKUP($A34,Recepcion!$A$2:$I$85,9,FALSE),"")</f>
        <v/>
      </c>
    </row>
    <row r="35">
      <c r="A35" s="7" t="inlineStr">
        <is>
          <t>INV-011</t>
        </is>
      </c>
      <c r="B35" s="7" t="inlineStr">
        <is>
          <t>BIB-030</t>
        </is>
      </c>
      <c r="C35" s="7" t="inlineStr">
        <is>
          <t>El Mejor Poema del Mundo 2026</t>
        </is>
      </c>
      <c r="D35" s="7" t="inlineStr">
        <is>
          <t>Celia Corral Cañas</t>
        </is>
      </c>
      <c r="E35" s="7" t="inlineStr">
        <is>
          <t>Ediciones Noel</t>
        </is>
      </c>
      <c r="F35" s="7" t="inlineStr"/>
      <c r="G35" s="7" t="inlineStr">
        <is>
          <t>INV-011</t>
        </is>
      </c>
      <c r="H35" s="7" t="inlineStr">
        <is>
          <t>EJEMPLAR 1</t>
        </is>
      </c>
      <c r="I35" s="7" t="inlineStr">
        <is>
          <t>INVENTARIO TRUEQUE.xlsx</t>
        </is>
      </c>
      <c r="J35" s="7" t="n">
        <v>13</v>
      </c>
      <c r="K35" s="7" t="inlineStr">
        <is>
          <t>11</t>
        </is>
      </c>
      <c r="L35" s="7" t="inlineStr">
        <is>
          <t>1</t>
        </is>
      </c>
      <c r="M35" s="7" t="inlineStr"/>
      <c r="N35" s="7" t="inlineStr"/>
      <c r="O35" s="7">
        <f>IFERROR(IF(VLOOKUP($A35,Recepcion!$A$2:$I$85,4,FALSE)="SÍ",IF(VLOOKUP($A35,Recepcion!$A$2:$I$85,5,FALSE)="ACEPTADO","DISPONIBLE",IF(VLOOKUP($A35,Recepcion!$A$2:$I$85,5,FALSE)="RECHAZADO","RECHAZADO","PENDIENTE_VERIFICACION")),IF(VLOOKUP($A35,Recepcion!$A$2:$I$85,4,FALSE)="NO","NO_PRESENTE","PENDIENTE_VERIFICACION")),"PENDIENTE_VERIFICACION")</f>
        <v/>
      </c>
      <c r="P35" s="7">
        <f>IF(O35="DISPONIBLE","SÍ","NO")</f>
        <v/>
      </c>
      <c r="Q35" s="7">
        <f>IF(COUNTIFS(Intercambios!$D$4:$D$103,A35,Intercambios!$G$4:$G$103,"REGISTRADO",Intercambios!$J$4:$J$103,"VÁLIDO")+COUNTIFS(Intercambios!$E$4:$E$103,A35,Intercambios!$G$4:$G$103,"REGISTRADO",Intercambios!$J$4:$J$103,"VÁLIDO")&gt;0,"INTERCAMBIADO",O35)</f>
        <v/>
      </c>
      <c r="R35" s="7">
        <f>IFERROR(VLOOKUP($A35,Recepcion!$A$2:$I$85,7,FALSE),"")</f>
        <v/>
      </c>
      <c r="S35" s="7">
        <f>IFERROR(VLOOKUP($A35,Recepcion!$A$2:$I$85,8,FALSE),"")</f>
        <v/>
      </c>
      <c r="T35" s="7">
        <f>IFERROR(VLOOKUP($A35,Recepcion!$A$2:$I$85,9,FALSE),"")</f>
        <v/>
      </c>
    </row>
    <row r="36">
      <c r="A36" s="7" t="inlineStr">
        <is>
          <t>INV-024</t>
        </is>
      </c>
      <c r="B36" s="7" t="inlineStr">
        <is>
          <t>BIB-031</t>
        </is>
      </c>
      <c r="C36" s="7" t="inlineStr">
        <is>
          <t>El Paisaje de una Amistad</t>
        </is>
      </c>
      <c r="D36" s="7" t="inlineStr">
        <is>
          <t>Angel Esteban, Stephanie Panichelli</t>
        </is>
      </c>
      <c r="E36" s="7" t="inlineStr">
        <is>
          <t>Espasa e Hoy</t>
        </is>
      </c>
      <c r="F36" s="7" t="inlineStr"/>
      <c r="G36" s="7" t="inlineStr">
        <is>
          <t>INV-024</t>
        </is>
      </c>
      <c r="H36" s="7" t="inlineStr">
        <is>
          <t>EJEMPLAR 1</t>
        </is>
      </c>
      <c r="I36" s="7" t="inlineStr">
        <is>
          <t>INVENTARIO TRUEQUE.xlsx</t>
        </is>
      </c>
      <c r="J36" s="7" t="n">
        <v>26</v>
      </c>
      <c r="K36" s="7" t="inlineStr">
        <is>
          <t>24</t>
        </is>
      </c>
      <c r="L36" s="7" t="inlineStr">
        <is>
          <t>1</t>
        </is>
      </c>
      <c r="M36" s="7" t="inlineStr"/>
      <c r="N36" s="7" t="inlineStr"/>
      <c r="O36" s="7">
        <f>IFERROR(IF(VLOOKUP($A36,Recepcion!$A$2:$I$85,4,FALSE)="SÍ",IF(VLOOKUP($A36,Recepcion!$A$2:$I$85,5,FALSE)="ACEPTADO","DISPONIBLE",IF(VLOOKUP($A36,Recepcion!$A$2:$I$85,5,FALSE)="RECHAZADO","RECHAZADO","PENDIENTE_VERIFICACION")),IF(VLOOKUP($A36,Recepcion!$A$2:$I$85,4,FALSE)="NO","NO_PRESENTE","PENDIENTE_VERIFICACION")),"PENDIENTE_VERIFICACION")</f>
        <v/>
      </c>
      <c r="P36" s="7">
        <f>IF(O36="DISPONIBLE","SÍ","NO")</f>
        <v/>
      </c>
      <c r="Q36" s="7">
        <f>IF(COUNTIFS(Intercambios!$D$4:$D$103,A36,Intercambios!$G$4:$G$103,"REGISTRADO",Intercambios!$J$4:$J$103,"VÁLIDO")+COUNTIFS(Intercambios!$E$4:$E$103,A36,Intercambios!$G$4:$G$103,"REGISTRADO",Intercambios!$J$4:$J$103,"VÁLIDO")&gt;0,"INTERCAMBIADO",O36)</f>
        <v/>
      </c>
      <c r="R36" s="7">
        <f>IFERROR(VLOOKUP($A36,Recepcion!$A$2:$I$85,7,FALSE),"")</f>
        <v/>
      </c>
      <c r="S36" s="7">
        <f>IFERROR(VLOOKUP($A36,Recepcion!$A$2:$I$85,8,FALSE),"")</f>
        <v/>
      </c>
      <c r="T36" s="7">
        <f>IFERROR(VLOOKUP($A36,Recepcion!$A$2:$I$85,9,FALSE),"")</f>
        <v/>
      </c>
    </row>
    <row r="37">
      <c r="A37" s="7" t="inlineStr">
        <is>
          <t>INV-010</t>
        </is>
      </c>
      <c r="B37" s="7" t="inlineStr">
        <is>
          <t>BIB-032</t>
        </is>
      </c>
      <c r="C37" s="7" t="inlineStr">
        <is>
          <t>El Quinto Dragon</t>
        </is>
      </c>
      <c r="D37" s="7" t="inlineStr">
        <is>
          <t>Paulina Aguilar Gutierrez</t>
        </is>
      </c>
      <c r="E37" s="7" t="inlineStr">
        <is>
          <t>Norma</t>
        </is>
      </c>
      <c r="F37" s="7" t="inlineStr"/>
      <c r="G37" s="7" t="inlineStr">
        <is>
          <t>INV-010</t>
        </is>
      </c>
      <c r="H37" s="7" t="inlineStr">
        <is>
          <t>EJEMPLAR 1</t>
        </is>
      </c>
      <c r="I37" s="7" t="inlineStr">
        <is>
          <t>INVENTARIO TRUEQUE.xlsx</t>
        </is>
      </c>
      <c r="J37" s="7" t="n">
        <v>12</v>
      </c>
      <c r="K37" s="7" t="inlineStr">
        <is>
          <t>10</t>
        </is>
      </c>
      <c r="L37" s="7" t="inlineStr">
        <is>
          <t>1</t>
        </is>
      </c>
      <c r="M37" s="7" t="inlineStr"/>
      <c r="N37" s="7" t="inlineStr"/>
      <c r="O37" s="7">
        <f>IFERROR(IF(VLOOKUP($A37,Recepcion!$A$2:$I$85,4,FALSE)="SÍ",IF(VLOOKUP($A37,Recepcion!$A$2:$I$85,5,FALSE)="ACEPTADO","DISPONIBLE",IF(VLOOKUP($A37,Recepcion!$A$2:$I$85,5,FALSE)="RECHAZADO","RECHAZADO","PENDIENTE_VERIFICACION")),IF(VLOOKUP($A37,Recepcion!$A$2:$I$85,4,FALSE)="NO","NO_PRESENTE","PENDIENTE_VERIFICACION")),"PENDIENTE_VERIFICACION")</f>
        <v/>
      </c>
      <c r="P37" s="7">
        <f>IF(O37="DISPONIBLE","SÍ","NO")</f>
        <v/>
      </c>
      <c r="Q37" s="7">
        <f>IF(COUNTIFS(Intercambios!$D$4:$D$103,A37,Intercambios!$G$4:$G$103,"REGISTRADO",Intercambios!$J$4:$J$103,"VÁLIDO")+COUNTIFS(Intercambios!$E$4:$E$103,A37,Intercambios!$G$4:$G$103,"REGISTRADO",Intercambios!$J$4:$J$103,"VÁLIDO")&gt;0,"INTERCAMBIADO",O37)</f>
        <v/>
      </c>
      <c r="R37" s="7">
        <f>IFERROR(VLOOKUP($A37,Recepcion!$A$2:$I$85,7,FALSE),"")</f>
        <v/>
      </c>
      <c r="S37" s="7">
        <f>IFERROR(VLOOKUP($A37,Recepcion!$A$2:$I$85,8,FALSE),"")</f>
        <v/>
      </c>
      <c r="T37" s="7">
        <f>IFERROR(VLOOKUP($A37,Recepcion!$A$2:$I$85,9,FALSE),"")</f>
        <v/>
      </c>
    </row>
    <row r="38">
      <c r="A38" s="7" t="inlineStr">
        <is>
          <t>INV-020</t>
        </is>
      </c>
      <c r="B38" s="7" t="inlineStr">
        <is>
          <t>BIB-033</t>
        </is>
      </c>
      <c r="C38" s="7" t="inlineStr">
        <is>
          <t>El Refugio de Poder Olvidar</t>
        </is>
      </c>
      <c r="D38" s="7" t="inlineStr">
        <is>
          <t>Maria Cristina Ocampo de Manzano</t>
        </is>
      </c>
      <c r="E38" s="7" t="inlineStr">
        <is>
          <t>N/E</t>
        </is>
      </c>
      <c r="F38" s="7" t="inlineStr"/>
      <c r="G38" s="7" t="inlineStr">
        <is>
          <t>INV-020</t>
        </is>
      </c>
      <c r="H38" s="7" t="inlineStr">
        <is>
          <t>EJEMPLAR 1</t>
        </is>
      </c>
      <c r="I38" s="7" t="inlineStr">
        <is>
          <t>INVENTARIO TRUEQUE.xlsx</t>
        </is>
      </c>
      <c r="J38" s="7" t="n">
        <v>22</v>
      </c>
      <c r="K38" s="7" t="inlineStr">
        <is>
          <t>20</t>
        </is>
      </c>
      <c r="L38" s="7" t="inlineStr">
        <is>
          <t>1</t>
        </is>
      </c>
      <c r="M38" s="7" t="inlineStr"/>
      <c r="N38" s="7" t="inlineStr"/>
      <c r="O38" s="7">
        <f>IFERROR(IF(VLOOKUP($A38,Recepcion!$A$2:$I$85,4,FALSE)="SÍ",IF(VLOOKUP($A38,Recepcion!$A$2:$I$85,5,FALSE)="ACEPTADO","DISPONIBLE",IF(VLOOKUP($A38,Recepcion!$A$2:$I$85,5,FALSE)="RECHAZADO","RECHAZADO","PENDIENTE_VERIFICACION")),IF(VLOOKUP($A38,Recepcion!$A$2:$I$85,4,FALSE)="NO","NO_PRESENTE","PENDIENTE_VERIFICACION")),"PENDIENTE_VERIFICACION")</f>
        <v/>
      </c>
      <c r="P38" s="7">
        <f>IF(O38="DISPONIBLE","SÍ","NO")</f>
        <v/>
      </c>
      <c r="Q38" s="7">
        <f>IF(COUNTIFS(Intercambios!$D$4:$D$103,A38,Intercambios!$G$4:$G$103,"REGISTRADO",Intercambios!$J$4:$J$103,"VÁLIDO")+COUNTIFS(Intercambios!$E$4:$E$103,A38,Intercambios!$G$4:$G$103,"REGISTRADO",Intercambios!$J$4:$J$103,"VÁLIDO")&gt;0,"INTERCAMBIADO",O38)</f>
        <v/>
      </c>
      <c r="R38" s="7">
        <f>IFERROR(VLOOKUP($A38,Recepcion!$A$2:$I$85,7,FALSE),"")</f>
        <v/>
      </c>
      <c r="S38" s="7">
        <f>IFERROR(VLOOKUP($A38,Recepcion!$A$2:$I$85,8,FALSE),"")</f>
        <v/>
      </c>
      <c r="T38" s="7">
        <f>IFERROR(VLOOKUP($A38,Recepcion!$A$2:$I$85,9,FALSE),"")</f>
        <v/>
      </c>
    </row>
    <row r="39">
      <c r="A39" s="7" t="inlineStr">
        <is>
          <t>INV-043</t>
        </is>
      </c>
      <c r="B39" s="7" t="inlineStr">
        <is>
          <t>BIB-034</t>
        </is>
      </c>
      <c r="C39" s="7" t="inlineStr">
        <is>
          <t>El Tunel</t>
        </is>
      </c>
      <c r="D39" s="7" t="inlineStr">
        <is>
          <t>Ernesto Sabato</t>
        </is>
      </c>
      <c r="E39" s="7" t="inlineStr">
        <is>
          <t>N/E</t>
        </is>
      </c>
      <c r="F39" s="7" t="inlineStr"/>
      <c r="G39" s="7" t="inlineStr">
        <is>
          <t>INV-043</t>
        </is>
      </c>
      <c r="H39" s="7" t="inlineStr">
        <is>
          <t>EJEMPLAR 1</t>
        </is>
      </c>
      <c r="I39" s="7" t="inlineStr">
        <is>
          <t>INVENTARIO TRUEQUE.xlsx</t>
        </is>
      </c>
      <c r="J39" s="7" t="n">
        <v>45</v>
      </c>
      <c r="K39" s="7" t="inlineStr">
        <is>
          <t>43</t>
        </is>
      </c>
      <c r="L39" s="7" t="inlineStr">
        <is>
          <t>1</t>
        </is>
      </c>
      <c r="M39" s="7" t="inlineStr"/>
      <c r="N39" s="7" t="inlineStr"/>
      <c r="O39" s="7">
        <f>IFERROR(IF(VLOOKUP($A39,Recepcion!$A$2:$I$85,4,FALSE)="SÍ",IF(VLOOKUP($A39,Recepcion!$A$2:$I$85,5,FALSE)="ACEPTADO","DISPONIBLE",IF(VLOOKUP($A39,Recepcion!$A$2:$I$85,5,FALSE)="RECHAZADO","RECHAZADO","PENDIENTE_VERIFICACION")),IF(VLOOKUP($A39,Recepcion!$A$2:$I$85,4,FALSE)="NO","NO_PRESENTE","PENDIENTE_VERIFICACION")),"PENDIENTE_VERIFICACION")</f>
        <v/>
      </c>
      <c r="P39" s="7">
        <f>IF(O39="DISPONIBLE","SÍ","NO")</f>
        <v/>
      </c>
      <c r="Q39" s="7">
        <f>IF(COUNTIFS(Intercambios!$D$4:$D$103,A39,Intercambios!$G$4:$G$103,"REGISTRADO",Intercambios!$J$4:$J$103,"VÁLIDO")+COUNTIFS(Intercambios!$E$4:$E$103,A39,Intercambios!$G$4:$G$103,"REGISTRADO",Intercambios!$J$4:$J$103,"VÁLIDO")&gt;0,"INTERCAMBIADO",O39)</f>
        <v/>
      </c>
      <c r="R39" s="7">
        <f>IFERROR(VLOOKUP($A39,Recepcion!$A$2:$I$85,7,FALSE),"")</f>
        <v/>
      </c>
      <c r="S39" s="7">
        <f>IFERROR(VLOOKUP($A39,Recepcion!$A$2:$I$85,8,FALSE),"")</f>
        <v/>
      </c>
      <c r="T39" s="7">
        <f>IFERROR(VLOOKUP($A39,Recepcion!$A$2:$I$85,9,FALSE),"")</f>
        <v/>
      </c>
    </row>
    <row r="40">
      <c r="A40" s="7" t="inlineStr">
        <is>
          <t>INV-039</t>
        </is>
      </c>
      <c r="B40" s="7" t="inlineStr">
        <is>
          <t>BIB-035</t>
        </is>
      </c>
      <c r="C40" s="7" t="inlineStr">
        <is>
          <t>El Viejo y El Mar</t>
        </is>
      </c>
      <c r="D40" s="7" t="inlineStr">
        <is>
          <t>Ernest Hemingway</t>
        </is>
      </c>
      <c r="E40" s="7" t="inlineStr">
        <is>
          <t>Atenea</t>
        </is>
      </c>
      <c r="F40" s="7" t="inlineStr"/>
      <c r="G40" s="7" t="inlineStr">
        <is>
          <t>INV-039</t>
        </is>
      </c>
      <c r="H40" s="7" t="inlineStr">
        <is>
          <t>EJEMPLAR 1</t>
        </is>
      </c>
      <c r="I40" s="7" t="inlineStr">
        <is>
          <t>INVENTARIO TRUEQUE.xlsx</t>
        </is>
      </c>
      <c r="J40" s="7" t="n">
        <v>41</v>
      </c>
      <c r="K40" s="7" t="inlineStr">
        <is>
          <t>39</t>
        </is>
      </c>
      <c r="L40" s="7" t="inlineStr">
        <is>
          <t>1</t>
        </is>
      </c>
      <c r="M40" s="7" t="inlineStr"/>
      <c r="N40" s="7" t="inlineStr"/>
      <c r="O40" s="7">
        <f>IFERROR(IF(VLOOKUP($A40,Recepcion!$A$2:$I$85,4,FALSE)="SÍ",IF(VLOOKUP($A40,Recepcion!$A$2:$I$85,5,FALSE)="ACEPTADO","DISPONIBLE",IF(VLOOKUP($A40,Recepcion!$A$2:$I$85,5,FALSE)="RECHAZADO","RECHAZADO","PENDIENTE_VERIFICACION")),IF(VLOOKUP($A40,Recepcion!$A$2:$I$85,4,FALSE)="NO","NO_PRESENTE","PENDIENTE_VERIFICACION")),"PENDIENTE_VERIFICACION")</f>
        <v/>
      </c>
      <c r="P40" s="7">
        <f>IF(O40="DISPONIBLE","SÍ","NO")</f>
        <v/>
      </c>
      <c r="Q40" s="7">
        <f>IF(COUNTIFS(Intercambios!$D$4:$D$103,A40,Intercambios!$G$4:$G$103,"REGISTRADO",Intercambios!$J$4:$J$103,"VÁLIDO")+COUNTIFS(Intercambios!$E$4:$E$103,A40,Intercambios!$G$4:$G$103,"REGISTRADO",Intercambios!$J$4:$J$103,"VÁLIDO")&gt;0,"INTERCAMBIADO",O40)</f>
        <v/>
      </c>
      <c r="R40" s="7">
        <f>IFERROR(VLOOKUP($A40,Recepcion!$A$2:$I$85,7,FALSE),"")</f>
        <v/>
      </c>
      <c r="S40" s="7">
        <f>IFERROR(VLOOKUP($A40,Recepcion!$A$2:$I$85,8,FALSE),"")</f>
        <v/>
      </c>
      <c r="T40" s="7">
        <f>IFERROR(VLOOKUP($A40,Recepcion!$A$2:$I$85,9,FALSE),"")</f>
        <v/>
      </c>
    </row>
    <row r="41">
      <c r="A41" s="7" t="inlineStr">
        <is>
          <t>CH-013</t>
        </is>
      </c>
      <c r="B41" s="7" t="inlineStr">
        <is>
          <t>BIB-036</t>
        </is>
      </c>
      <c r="C41" s="7" t="inlineStr">
        <is>
          <t>Emilio</t>
        </is>
      </c>
      <c r="D41" s="7" t="inlineStr">
        <is>
          <t>Castilla Julia M.</t>
        </is>
      </c>
      <c r="E41" s="7" t="inlineStr">
        <is>
          <t>Norma</t>
        </is>
      </c>
      <c r="F41" s="7" t="inlineStr">
        <is>
          <t>9789580441496</t>
        </is>
      </c>
      <c r="G41" s="7" t="inlineStr">
        <is>
          <t>CH-013</t>
        </is>
      </c>
      <c r="H41" s="7" t="inlineStr">
        <is>
          <t>ITEM 13</t>
        </is>
      </c>
      <c r="I41" s="7" t="inlineStr">
        <is>
          <t>Libros para el Trueque Literario CH.xlsx</t>
        </is>
      </c>
      <c r="J41" s="7" t="n">
        <v>14</v>
      </c>
      <c r="K41" s="7" t="inlineStr">
        <is>
          <t>13</t>
        </is>
      </c>
      <c r="L41" s="7" t="inlineStr"/>
      <c r="M41" s="7" t="inlineStr"/>
      <c r="N41" s="7" t="inlineStr"/>
      <c r="O41" s="7">
        <f>IFERROR(IF(VLOOKUP($A41,Recepcion!$A$2:$I$85,4,FALSE)="SÍ",IF(VLOOKUP($A41,Recepcion!$A$2:$I$85,5,FALSE)="ACEPTADO","DISPONIBLE",IF(VLOOKUP($A41,Recepcion!$A$2:$I$85,5,FALSE)="RECHAZADO","RECHAZADO","PENDIENTE_VERIFICACION")),IF(VLOOKUP($A41,Recepcion!$A$2:$I$85,4,FALSE)="NO","NO_PRESENTE","PENDIENTE_VERIFICACION")),"PENDIENTE_VERIFICACION")</f>
        <v/>
      </c>
      <c r="P41" s="7">
        <f>IF(O41="DISPONIBLE","SÍ","NO")</f>
        <v/>
      </c>
      <c r="Q41" s="7">
        <f>IF(COUNTIFS(Intercambios!$D$4:$D$103,A41,Intercambios!$G$4:$G$103,"REGISTRADO",Intercambios!$J$4:$J$103,"VÁLIDO")+COUNTIFS(Intercambios!$E$4:$E$103,A41,Intercambios!$G$4:$G$103,"REGISTRADO",Intercambios!$J$4:$J$103,"VÁLIDO")&gt;0,"INTERCAMBIADO",O41)</f>
        <v/>
      </c>
      <c r="R41" s="7">
        <f>IFERROR(VLOOKUP($A41,Recepcion!$A$2:$I$85,7,FALSE),"")</f>
        <v/>
      </c>
      <c r="S41" s="7">
        <f>IFERROR(VLOOKUP($A41,Recepcion!$A$2:$I$85,8,FALSE),"")</f>
        <v/>
      </c>
      <c r="T41" s="7">
        <f>IFERROR(VLOOKUP($A41,Recepcion!$A$2:$I$85,9,FALSE),"")</f>
        <v/>
      </c>
    </row>
    <row r="42">
      <c r="A42" s="7" t="inlineStr">
        <is>
          <t>INV-008</t>
        </is>
      </c>
      <c r="B42" s="7" t="inlineStr">
        <is>
          <t>BIB-037</t>
        </is>
      </c>
      <c r="C42" s="7" t="inlineStr">
        <is>
          <t>En busca del Equilibrio</t>
        </is>
      </c>
      <c r="D42" s="7" t="inlineStr">
        <is>
          <t>Wayne Dyer</t>
        </is>
      </c>
      <c r="E42" s="7" t="inlineStr">
        <is>
          <t>Debolsillo</t>
        </is>
      </c>
      <c r="F42" s="7" t="inlineStr"/>
      <c r="G42" s="7" t="inlineStr">
        <is>
          <t>INV-008</t>
        </is>
      </c>
      <c r="H42" s="7" t="inlineStr">
        <is>
          <t>EJEMPLAR 1</t>
        </is>
      </c>
      <c r="I42" s="7" t="inlineStr">
        <is>
          <t>INVENTARIO TRUEQUE.xlsx</t>
        </is>
      </c>
      <c r="J42" s="7" t="n">
        <v>10</v>
      </c>
      <c r="K42" s="7" t="inlineStr">
        <is>
          <t>8</t>
        </is>
      </c>
      <c r="L42" s="7" t="inlineStr">
        <is>
          <t>1</t>
        </is>
      </c>
      <c r="M42" s="7" t="inlineStr"/>
      <c r="N42" s="7" t="inlineStr"/>
      <c r="O42" s="7">
        <f>IFERROR(IF(VLOOKUP($A42,Recepcion!$A$2:$I$85,4,FALSE)="SÍ",IF(VLOOKUP($A42,Recepcion!$A$2:$I$85,5,FALSE)="ACEPTADO","DISPONIBLE",IF(VLOOKUP($A42,Recepcion!$A$2:$I$85,5,FALSE)="RECHAZADO","RECHAZADO","PENDIENTE_VERIFICACION")),IF(VLOOKUP($A42,Recepcion!$A$2:$I$85,4,FALSE)="NO","NO_PRESENTE","PENDIENTE_VERIFICACION")),"PENDIENTE_VERIFICACION")</f>
        <v/>
      </c>
      <c r="P42" s="7">
        <f>IF(O42="DISPONIBLE","SÍ","NO")</f>
        <v/>
      </c>
      <c r="Q42" s="7">
        <f>IF(COUNTIFS(Intercambios!$D$4:$D$103,A42,Intercambios!$G$4:$G$103,"REGISTRADO",Intercambios!$J$4:$J$103,"VÁLIDO")+COUNTIFS(Intercambios!$E$4:$E$103,A42,Intercambios!$G$4:$G$103,"REGISTRADO",Intercambios!$J$4:$J$103,"VÁLIDO")&gt;0,"INTERCAMBIADO",O42)</f>
        <v/>
      </c>
      <c r="R42" s="7">
        <f>IFERROR(VLOOKUP($A42,Recepcion!$A$2:$I$85,7,FALSE),"")</f>
        <v/>
      </c>
      <c r="S42" s="7">
        <f>IFERROR(VLOOKUP($A42,Recepcion!$A$2:$I$85,8,FALSE),"")</f>
        <v/>
      </c>
      <c r="T42" s="7">
        <f>IFERROR(VLOOKUP($A42,Recepcion!$A$2:$I$85,9,FALSE),"")</f>
        <v/>
      </c>
    </row>
    <row r="43">
      <c r="A43" s="7" t="inlineStr">
        <is>
          <t>INV-012</t>
        </is>
      </c>
      <c r="B43" s="7" t="inlineStr">
        <is>
          <t>BIB-038</t>
        </is>
      </c>
      <c r="C43" s="7" t="inlineStr">
        <is>
          <t>Entre Pecas y Lentejas</t>
        </is>
      </c>
      <c r="D43" s="7" t="inlineStr">
        <is>
          <t>Elena Dreser</t>
        </is>
      </c>
      <c r="E43" s="7" t="inlineStr">
        <is>
          <t>Educar</t>
        </is>
      </c>
      <c r="F43" s="7" t="inlineStr"/>
      <c r="G43" s="7" t="inlineStr">
        <is>
          <t>INV-012</t>
        </is>
      </c>
      <c r="H43" s="7" t="inlineStr">
        <is>
          <t>EJEMPLAR 1</t>
        </is>
      </c>
      <c r="I43" s="7" t="inlineStr">
        <is>
          <t>INVENTARIO TRUEQUE.xlsx</t>
        </is>
      </c>
      <c r="J43" s="7" t="n">
        <v>14</v>
      </c>
      <c r="K43" s="7" t="inlineStr">
        <is>
          <t>12</t>
        </is>
      </c>
      <c r="L43" s="7" t="inlineStr">
        <is>
          <t>1</t>
        </is>
      </c>
      <c r="M43" s="7" t="inlineStr"/>
      <c r="N43" s="7" t="inlineStr"/>
      <c r="O43" s="7">
        <f>IFERROR(IF(VLOOKUP($A43,Recepcion!$A$2:$I$85,4,FALSE)="SÍ",IF(VLOOKUP($A43,Recepcion!$A$2:$I$85,5,FALSE)="ACEPTADO","DISPONIBLE",IF(VLOOKUP($A43,Recepcion!$A$2:$I$85,5,FALSE)="RECHAZADO","RECHAZADO","PENDIENTE_VERIFICACION")),IF(VLOOKUP($A43,Recepcion!$A$2:$I$85,4,FALSE)="NO","NO_PRESENTE","PENDIENTE_VERIFICACION")),"PENDIENTE_VERIFICACION")</f>
        <v/>
      </c>
      <c r="P43" s="7">
        <f>IF(O43="DISPONIBLE","SÍ","NO")</f>
        <v/>
      </c>
      <c r="Q43" s="7">
        <f>IF(COUNTIFS(Intercambios!$D$4:$D$103,A43,Intercambios!$G$4:$G$103,"REGISTRADO",Intercambios!$J$4:$J$103,"VÁLIDO")+COUNTIFS(Intercambios!$E$4:$E$103,A43,Intercambios!$G$4:$G$103,"REGISTRADO",Intercambios!$J$4:$J$103,"VÁLIDO")&gt;0,"INTERCAMBIADO",O43)</f>
        <v/>
      </c>
      <c r="R43" s="7">
        <f>IFERROR(VLOOKUP($A43,Recepcion!$A$2:$I$85,7,FALSE),"")</f>
        <v/>
      </c>
      <c r="S43" s="7">
        <f>IFERROR(VLOOKUP($A43,Recepcion!$A$2:$I$85,8,FALSE),"")</f>
        <v/>
      </c>
      <c r="T43" s="7">
        <f>IFERROR(VLOOKUP($A43,Recepcion!$A$2:$I$85,9,FALSE),"")</f>
        <v/>
      </c>
    </row>
    <row r="44">
      <c r="A44" s="7" t="inlineStr">
        <is>
          <t>INV-047</t>
        </is>
      </c>
      <c r="B44" s="7" t="inlineStr">
        <is>
          <t>BIB-039</t>
        </is>
      </c>
      <c r="C44" s="7" t="inlineStr">
        <is>
          <t>Foto Estudio Corazon</t>
        </is>
      </c>
      <c r="D44" s="7" t="inlineStr">
        <is>
          <t>Maria Fernanda Heredia</t>
        </is>
      </c>
      <c r="E44" s="7" t="inlineStr">
        <is>
          <t>Norma</t>
        </is>
      </c>
      <c r="F44" s="7" t="inlineStr"/>
      <c r="G44" s="7" t="inlineStr">
        <is>
          <t>INV-047</t>
        </is>
      </c>
      <c r="H44" s="7" t="inlineStr">
        <is>
          <t>EJEMPLAR 1</t>
        </is>
      </c>
      <c r="I44" s="7" t="inlineStr">
        <is>
          <t>INVENTARIO TRUEQUE.xlsx</t>
        </is>
      </c>
      <c r="J44" s="7" t="n">
        <v>49</v>
      </c>
      <c r="K44" s="7" t="inlineStr">
        <is>
          <t>47</t>
        </is>
      </c>
      <c r="L44" s="7" t="inlineStr">
        <is>
          <t>1</t>
        </is>
      </c>
      <c r="M44" s="7" t="inlineStr"/>
      <c r="N44" s="7" t="inlineStr"/>
      <c r="O44" s="7">
        <f>IFERROR(IF(VLOOKUP($A44,Recepcion!$A$2:$I$85,4,FALSE)="SÍ",IF(VLOOKUP($A44,Recepcion!$A$2:$I$85,5,FALSE)="ACEPTADO","DISPONIBLE",IF(VLOOKUP($A44,Recepcion!$A$2:$I$85,5,FALSE)="RECHAZADO","RECHAZADO","PENDIENTE_VERIFICACION")),IF(VLOOKUP($A44,Recepcion!$A$2:$I$85,4,FALSE)="NO","NO_PRESENTE","PENDIENTE_VERIFICACION")),"PENDIENTE_VERIFICACION")</f>
        <v/>
      </c>
      <c r="P44" s="7">
        <f>IF(O44="DISPONIBLE","SÍ","NO")</f>
        <v/>
      </c>
      <c r="Q44" s="7">
        <f>IF(COUNTIFS(Intercambios!$D$4:$D$103,A44,Intercambios!$G$4:$G$103,"REGISTRADO",Intercambios!$J$4:$J$103,"VÁLIDO")+COUNTIFS(Intercambios!$E$4:$E$103,A44,Intercambios!$G$4:$G$103,"REGISTRADO",Intercambios!$J$4:$J$103,"VÁLIDO")&gt;0,"INTERCAMBIADO",O44)</f>
        <v/>
      </c>
      <c r="R44" s="7">
        <f>IFERROR(VLOOKUP($A44,Recepcion!$A$2:$I$85,7,FALSE),"")</f>
        <v/>
      </c>
      <c r="S44" s="7">
        <f>IFERROR(VLOOKUP($A44,Recepcion!$A$2:$I$85,8,FALSE),"")</f>
        <v/>
      </c>
      <c r="T44" s="7">
        <f>IFERROR(VLOOKUP($A44,Recepcion!$A$2:$I$85,9,FALSE),"")</f>
        <v/>
      </c>
    </row>
    <row r="45">
      <c r="A45" s="7" t="inlineStr">
        <is>
          <t>INV-001</t>
        </is>
      </c>
      <c r="B45" s="7" t="inlineStr">
        <is>
          <t>BIB-040</t>
        </is>
      </c>
      <c r="C45" s="7" t="inlineStr">
        <is>
          <t>Habitos Atomicos</t>
        </is>
      </c>
      <c r="D45" s="7" t="inlineStr">
        <is>
          <t>James Clear</t>
        </is>
      </c>
      <c r="E45" s="7" t="inlineStr">
        <is>
          <t>PAIDOS</t>
        </is>
      </c>
      <c r="F45" s="7" t="inlineStr"/>
      <c r="G45" s="7" t="inlineStr">
        <is>
          <t>INV-001</t>
        </is>
      </c>
      <c r="H45" s="7" t="inlineStr">
        <is>
          <t>EJEMPLAR 1</t>
        </is>
      </c>
      <c r="I45" s="7" t="inlineStr">
        <is>
          <t>INVENTARIO TRUEQUE.xlsx</t>
        </is>
      </c>
      <c r="J45" s="7" t="n">
        <v>3</v>
      </c>
      <c r="K45" s="7" t="inlineStr">
        <is>
          <t>1</t>
        </is>
      </c>
      <c r="L45" s="7" t="inlineStr">
        <is>
          <t>1</t>
        </is>
      </c>
      <c r="M45" s="7" t="inlineStr"/>
      <c r="N45" s="7" t="inlineStr"/>
      <c r="O45" s="7">
        <f>IFERROR(IF(VLOOKUP($A45,Recepcion!$A$2:$I$85,4,FALSE)="SÍ",IF(VLOOKUP($A45,Recepcion!$A$2:$I$85,5,FALSE)="ACEPTADO","DISPONIBLE",IF(VLOOKUP($A45,Recepcion!$A$2:$I$85,5,FALSE)="RECHAZADO","RECHAZADO","PENDIENTE_VERIFICACION")),IF(VLOOKUP($A45,Recepcion!$A$2:$I$85,4,FALSE)="NO","NO_PRESENTE","PENDIENTE_VERIFICACION")),"PENDIENTE_VERIFICACION")</f>
        <v/>
      </c>
      <c r="P45" s="7">
        <f>IF(O45="DISPONIBLE","SÍ","NO")</f>
        <v/>
      </c>
      <c r="Q45" s="7">
        <f>IF(COUNTIFS(Intercambios!$D$4:$D$103,A45,Intercambios!$G$4:$G$103,"REGISTRADO",Intercambios!$J$4:$J$103,"VÁLIDO")+COUNTIFS(Intercambios!$E$4:$E$103,A45,Intercambios!$G$4:$G$103,"REGISTRADO",Intercambios!$J$4:$J$103,"VÁLIDO")&gt;0,"INTERCAMBIADO",O45)</f>
        <v/>
      </c>
      <c r="R45" s="7">
        <f>IFERROR(VLOOKUP($A45,Recepcion!$A$2:$I$85,7,FALSE),"")</f>
        <v/>
      </c>
      <c r="S45" s="7">
        <f>IFERROR(VLOOKUP($A45,Recepcion!$A$2:$I$85,8,FALSE),"")</f>
        <v/>
      </c>
      <c r="T45" s="7">
        <f>IFERROR(VLOOKUP($A45,Recepcion!$A$2:$I$85,9,FALSE),"")</f>
        <v/>
      </c>
    </row>
    <row r="46">
      <c r="A46" s="7" t="inlineStr">
        <is>
          <t>INV-060</t>
        </is>
      </c>
      <c r="B46" s="7" t="inlineStr">
        <is>
          <t>BIB-041</t>
        </is>
      </c>
      <c r="C46" s="7" t="inlineStr">
        <is>
          <t>Hija de la Fortuna</t>
        </is>
      </c>
      <c r="D46" s="7" t="inlineStr">
        <is>
          <t>Isabel Allende</t>
        </is>
      </c>
      <c r="E46" s="7" t="inlineStr">
        <is>
          <t>Sudamericana</t>
        </is>
      </c>
      <c r="F46" s="7" t="inlineStr"/>
      <c r="G46" s="7" t="inlineStr">
        <is>
          <t>INV-060</t>
        </is>
      </c>
      <c r="H46" s="7" t="inlineStr">
        <is>
          <t>EJEMPLAR 1</t>
        </is>
      </c>
      <c r="I46" s="7" t="inlineStr">
        <is>
          <t>INVENTARIO TRUEQUE.xlsx</t>
        </is>
      </c>
      <c r="J46" s="7" t="n">
        <v>62</v>
      </c>
      <c r="K46" s="7" t="inlineStr">
        <is>
          <t>60</t>
        </is>
      </c>
      <c r="L46" s="7" t="inlineStr">
        <is>
          <t>1</t>
        </is>
      </c>
      <c r="M46" s="7" t="inlineStr"/>
      <c r="N46" s="7" t="inlineStr"/>
      <c r="O46" s="7">
        <f>IFERROR(IF(VLOOKUP($A46,Recepcion!$A$2:$I$85,4,FALSE)="SÍ",IF(VLOOKUP($A46,Recepcion!$A$2:$I$85,5,FALSE)="ACEPTADO","DISPONIBLE",IF(VLOOKUP($A46,Recepcion!$A$2:$I$85,5,FALSE)="RECHAZADO","RECHAZADO","PENDIENTE_VERIFICACION")),IF(VLOOKUP($A46,Recepcion!$A$2:$I$85,4,FALSE)="NO","NO_PRESENTE","PENDIENTE_VERIFICACION")),"PENDIENTE_VERIFICACION")</f>
        <v/>
      </c>
      <c r="P46" s="7">
        <f>IF(O46="DISPONIBLE","SÍ","NO")</f>
        <v/>
      </c>
      <c r="Q46" s="7">
        <f>IF(COUNTIFS(Intercambios!$D$4:$D$103,A46,Intercambios!$G$4:$G$103,"REGISTRADO",Intercambios!$J$4:$J$103,"VÁLIDO")+COUNTIFS(Intercambios!$E$4:$E$103,A46,Intercambios!$G$4:$G$103,"REGISTRADO",Intercambios!$J$4:$J$103,"VÁLIDO")&gt;0,"INTERCAMBIADO",O46)</f>
        <v/>
      </c>
      <c r="R46" s="7">
        <f>IFERROR(VLOOKUP($A46,Recepcion!$A$2:$I$85,7,FALSE),"")</f>
        <v/>
      </c>
      <c r="S46" s="7">
        <f>IFERROR(VLOOKUP($A46,Recepcion!$A$2:$I$85,8,FALSE),"")</f>
        <v/>
      </c>
      <c r="T46" s="7">
        <f>IFERROR(VLOOKUP($A46,Recepcion!$A$2:$I$85,9,FALSE),"")</f>
        <v/>
      </c>
    </row>
    <row r="47">
      <c r="A47" s="7" t="inlineStr">
        <is>
          <t>INV-058</t>
        </is>
      </c>
      <c r="B47" s="7" t="inlineStr">
        <is>
          <t>BIB-042</t>
        </is>
      </c>
      <c r="C47" s="7" t="inlineStr">
        <is>
          <t>Juramneto Gitano</t>
        </is>
      </c>
      <c r="D47" s="7" t="inlineStr">
        <is>
          <t>Marianamatilde Rodriguez Jaime</t>
        </is>
      </c>
      <c r="E47" s="7" t="inlineStr">
        <is>
          <t>Universidad del Norte</t>
        </is>
      </c>
      <c r="F47" s="7" t="inlineStr"/>
      <c r="G47" s="7" t="inlineStr">
        <is>
          <t>INV-058</t>
        </is>
      </c>
      <c r="H47" s="7" t="inlineStr">
        <is>
          <t>EJEMPLAR 1</t>
        </is>
      </c>
      <c r="I47" s="7" t="inlineStr">
        <is>
          <t>INVENTARIO TRUEQUE.xlsx</t>
        </is>
      </c>
      <c r="J47" s="7" t="n">
        <v>60</v>
      </c>
      <c r="K47" s="7" t="inlineStr">
        <is>
          <t>58</t>
        </is>
      </c>
      <c r="L47" s="7" t="inlineStr">
        <is>
          <t>1</t>
        </is>
      </c>
      <c r="M47" s="7" t="inlineStr"/>
      <c r="N47" s="7" t="inlineStr"/>
      <c r="O47" s="7">
        <f>IFERROR(IF(VLOOKUP($A47,Recepcion!$A$2:$I$85,4,FALSE)="SÍ",IF(VLOOKUP($A47,Recepcion!$A$2:$I$85,5,FALSE)="ACEPTADO","DISPONIBLE",IF(VLOOKUP($A47,Recepcion!$A$2:$I$85,5,FALSE)="RECHAZADO","RECHAZADO","PENDIENTE_VERIFICACION")),IF(VLOOKUP($A47,Recepcion!$A$2:$I$85,4,FALSE)="NO","NO_PRESENTE","PENDIENTE_VERIFICACION")),"PENDIENTE_VERIFICACION")</f>
        <v/>
      </c>
      <c r="P47" s="7">
        <f>IF(O47="DISPONIBLE","SÍ","NO")</f>
        <v/>
      </c>
      <c r="Q47" s="7">
        <f>IF(COUNTIFS(Intercambios!$D$4:$D$103,A47,Intercambios!$G$4:$G$103,"REGISTRADO",Intercambios!$J$4:$J$103,"VÁLIDO")+COUNTIFS(Intercambios!$E$4:$E$103,A47,Intercambios!$G$4:$G$103,"REGISTRADO",Intercambios!$J$4:$J$103,"VÁLIDO")&gt;0,"INTERCAMBIADO",O47)</f>
        <v/>
      </c>
      <c r="R47" s="7">
        <f>IFERROR(VLOOKUP($A47,Recepcion!$A$2:$I$85,7,FALSE),"")</f>
        <v/>
      </c>
      <c r="S47" s="7">
        <f>IFERROR(VLOOKUP($A47,Recepcion!$A$2:$I$85,8,FALSE),"")</f>
        <v/>
      </c>
      <c r="T47" s="7">
        <f>IFERROR(VLOOKUP($A47,Recepcion!$A$2:$I$85,9,FALSE),"")</f>
        <v/>
      </c>
    </row>
    <row r="48">
      <c r="A48" s="7" t="inlineStr">
        <is>
          <t>INV-040</t>
        </is>
      </c>
      <c r="B48" s="7" t="inlineStr">
        <is>
          <t>BIB-043</t>
        </is>
      </c>
      <c r="C48" s="7" t="inlineStr">
        <is>
          <t>La Barca Sin Pescador Siete Gritos en el Mar</t>
        </is>
      </c>
      <c r="D48" s="7" t="inlineStr">
        <is>
          <t>Alejandro Casona</t>
        </is>
      </c>
      <c r="E48" s="7" t="inlineStr">
        <is>
          <t>Biblioteca Edaf</t>
        </is>
      </c>
      <c r="F48" s="7" t="inlineStr"/>
      <c r="G48" s="7" t="inlineStr">
        <is>
          <t>INV-040</t>
        </is>
      </c>
      <c r="H48" s="7" t="inlineStr">
        <is>
          <t>EJEMPLAR 1</t>
        </is>
      </c>
      <c r="I48" s="7" t="inlineStr">
        <is>
          <t>INVENTARIO TRUEQUE.xlsx</t>
        </is>
      </c>
      <c r="J48" s="7" t="n">
        <v>42</v>
      </c>
      <c r="K48" s="7" t="inlineStr">
        <is>
          <t>40</t>
        </is>
      </c>
      <c r="L48" s="7" t="inlineStr">
        <is>
          <t>1</t>
        </is>
      </c>
      <c r="M48" s="7" t="inlineStr"/>
      <c r="N48" s="7" t="inlineStr"/>
      <c r="O48" s="7">
        <f>IFERROR(IF(VLOOKUP($A48,Recepcion!$A$2:$I$85,4,FALSE)="SÍ",IF(VLOOKUP($A48,Recepcion!$A$2:$I$85,5,FALSE)="ACEPTADO","DISPONIBLE",IF(VLOOKUP($A48,Recepcion!$A$2:$I$85,5,FALSE)="RECHAZADO","RECHAZADO","PENDIENTE_VERIFICACION")),IF(VLOOKUP($A48,Recepcion!$A$2:$I$85,4,FALSE)="NO","NO_PRESENTE","PENDIENTE_VERIFICACION")),"PENDIENTE_VERIFICACION")</f>
        <v/>
      </c>
      <c r="P48" s="7">
        <f>IF(O48="DISPONIBLE","SÍ","NO")</f>
        <v/>
      </c>
      <c r="Q48" s="7">
        <f>IF(COUNTIFS(Intercambios!$D$4:$D$103,A48,Intercambios!$G$4:$G$103,"REGISTRADO",Intercambios!$J$4:$J$103,"VÁLIDO")+COUNTIFS(Intercambios!$E$4:$E$103,A48,Intercambios!$G$4:$G$103,"REGISTRADO",Intercambios!$J$4:$J$103,"VÁLIDO")&gt;0,"INTERCAMBIADO",O48)</f>
        <v/>
      </c>
      <c r="R48" s="7">
        <f>IFERROR(VLOOKUP($A48,Recepcion!$A$2:$I$85,7,FALSE),"")</f>
        <v/>
      </c>
      <c r="S48" s="7">
        <f>IFERROR(VLOOKUP($A48,Recepcion!$A$2:$I$85,8,FALSE),"")</f>
        <v/>
      </c>
      <c r="T48" s="7">
        <f>IFERROR(VLOOKUP($A48,Recepcion!$A$2:$I$85,9,FALSE),"")</f>
        <v/>
      </c>
    </row>
    <row r="49">
      <c r="A49" s="7" t="inlineStr">
        <is>
          <t>INV-059</t>
        </is>
      </c>
      <c r="B49" s="7" t="inlineStr">
        <is>
          <t>BIB-044</t>
        </is>
      </c>
      <c r="C49" s="7" t="inlineStr">
        <is>
          <t>La Carta, La Pocima y el Tesoro</t>
        </is>
      </c>
      <c r="D49" s="7" t="inlineStr">
        <is>
          <t>N/A</t>
        </is>
      </c>
      <c r="E49" s="7" t="inlineStr">
        <is>
          <t>Universidad Tecnologica de Bolivar</t>
        </is>
      </c>
      <c r="F49" s="7" t="inlineStr"/>
      <c r="G49" s="7" t="inlineStr">
        <is>
          <t>INV-059</t>
        </is>
      </c>
      <c r="H49" s="7" t="inlineStr">
        <is>
          <t>EJEMPLAR 1</t>
        </is>
      </c>
      <c r="I49" s="7" t="inlineStr">
        <is>
          <t>INVENTARIO TRUEQUE.xlsx</t>
        </is>
      </c>
      <c r="J49" s="7" t="n">
        <v>61</v>
      </c>
      <c r="K49" s="7" t="inlineStr">
        <is>
          <t>59</t>
        </is>
      </c>
      <c r="L49" s="7" t="inlineStr">
        <is>
          <t>1</t>
        </is>
      </c>
      <c r="M49" s="7" t="inlineStr"/>
      <c r="N49" s="7" t="inlineStr"/>
      <c r="O49" s="7">
        <f>IFERROR(IF(VLOOKUP($A49,Recepcion!$A$2:$I$85,4,FALSE)="SÍ",IF(VLOOKUP($A49,Recepcion!$A$2:$I$85,5,FALSE)="ACEPTADO","DISPONIBLE",IF(VLOOKUP($A49,Recepcion!$A$2:$I$85,5,FALSE)="RECHAZADO","RECHAZADO","PENDIENTE_VERIFICACION")),IF(VLOOKUP($A49,Recepcion!$A$2:$I$85,4,FALSE)="NO","NO_PRESENTE","PENDIENTE_VERIFICACION")),"PENDIENTE_VERIFICACION")</f>
        <v/>
      </c>
      <c r="P49" s="7">
        <f>IF(O49="DISPONIBLE","SÍ","NO")</f>
        <v/>
      </c>
      <c r="Q49" s="7">
        <f>IF(COUNTIFS(Intercambios!$D$4:$D$103,A49,Intercambios!$G$4:$G$103,"REGISTRADO",Intercambios!$J$4:$J$103,"VÁLIDO")+COUNTIFS(Intercambios!$E$4:$E$103,A49,Intercambios!$G$4:$G$103,"REGISTRADO",Intercambios!$J$4:$J$103,"VÁLIDO")&gt;0,"INTERCAMBIADO",O49)</f>
        <v/>
      </c>
      <c r="R49" s="7">
        <f>IFERROR(VLOOKUP($A49,Recepcion!$A$2:$I$85,7,FALSE),"")</f>
        <v/>
      </c>
      <c r="S49" s="7">
        <f>IFERROR(VLOOKUP($A49,Recepcion!$A$2:$I$85,8,FALSE),"")</f>
        <v/>
      </c>
      <c r="T49" s="7">
        <f>IFERROR(VLOOKUP($A49,Recepcion!$A$2:$I$85,9,FALSE),"")</f>
        <v/>
      </c>
    </row>
    <row r="50">
      <c r="A50" s="7" t="inlineStr">
        <is>
          <t>INV-016</t>
        </is>
      </c>
      <c r="B50" s="7" t="inlineStr">
        <is>
          <t>BIB-045</t>
        </is>
      </c>
      <c r="C50" s="7" t="inlineStr">
        <is>
          <t>La Celestina</t>
        </is>
      </c>
      <c r="D50" s="7" t="inlineStr">
        <is>
          <t>Fernando de Rojas</t>
        </is>
      </c>
      <c r="E50" s="7" t="inlineStr">
        <is>
          <t>Atenea</t>
        </is>
      </c>
      <c r="F50" s="7" t="inlineStr"/>
      <c r="G50" s="7" t="inlineStr">
        <is>
          <t>INV-016</t>
        </is>
      </c>
      <c r="H50" s="7" t="inlineStr">
        <is>
          <t>EJEMPLAR 1</t>
        </is>
      </c>
      <c r="I50" s="7" t="inlineStr">
        <is>
          <t>INVENTARIO TRUEQUE.xlsx</t>
        </is>
      </c>
      <c r="J50" s="7" t="n">
        <v>18</v>
      </c>
      <c r="K50" s="7" t="inlineStr">
        <is>
          <t>16</t>
        </is>
      </c>
      <c r="L50" s="7" t="inlineStr">
        <is>
          <t>1</t>
        </is>
      </c>
      <c r="M50" s="7" t="inlineStr">
        <is>
          <t>Posible duplicado de: INV-042 (INVENTARIO)</t>
        </is>
      </c>
      <c r="N50" s="7" t="inlineStr">
        <is>
          <t>DUPLICADO_MISMA_FUENTE</t>
        </is>
      </c>
      <c r="O50" s="7">
        <f>IFERROR(IF(VLOOKUP($A50,Recepcion!$A$2:$I$85,4,FALSE)="SÍ",IF(VLOOKUP($A50,Recepcion!$A$2:$I$85,5,FALSE)="ACEPTADO","DISPONIBLE",IF(VLOOKUP($A50,Recepcion!$A$2:$I$85,5,FALSE)="RECHAZADO","RECHAZADO","PENDIENTE_VERIFICACION")),IF(VLOOKUP($A50,Recepcion!$A$2:$I$85,4,FALSE)="NO","NO_PRESENTE","PENDIENTE_VERIFICACION")),"PENDIENTE_VERIFICACION")</f>
        <v/>
      </c>
      <c r="P50" s="7">
        <f>IF(O50="DISPONIBLE","SÍ","NO")</f>
        <v/>
      </c>
      <c r="Q50" s="7">
        <f>IF(COUNTIFS(Intercambios!$D$4:$D$103,A50,Intercambios!$G$4:$G$103,"REGISTRADO",Intercambios!$J$4:$J$103,"VÁLIDO")+COUNTIFS(Intercambios!$E$4:$E$103,A50,Intercambios!$G$4:$G$103,"REGISTRADO",Intercambios!$J$4:$J$103,"VÁLIDO")&gt;0,"INTERCAMBIADO",O50)</f>
        <v/>
      </c>
      <c r="R50" s="7">
        <f>IFERROR(VLOOKUP($A50,Recepcion!$A$2:$I$85,7,FALSE),"")</f>
        <v/>
      </c>
      <c r="S50" s="7">
        <f>IFERROR(VLOOKUP($A50,Recepcion!$A$2:$I$85,8,FALSE),"")</f>
        <v/>
      </c>
      <c r="T50" s="7">
        <f>IFERROR(VLOOKUP($A50,Recepcion!$A$2:$I$85,9,FALSE),"")</f>
        <v/>
      </c>
    </row>
    <row r="51">
      <c r="A51" s="7" t="inlineStr">
        <is>
          <t>INV-042</t>
        </is>
      </c>
      <c r="B51" s="7" t="inlineStr">
        <is>
          <t>BIB-045</t>
        </is>
      </c>
      <c r="C51" s="7" t="inlineStr">
        <is>
          <t>La Celestina</t>
        </is>
      </c>
      <c r="D51" s="7" t="inlineStr">
        <is>
          <t>Fernando de Rojas</t>
        </is>
      </c>
      <c r="E51" s="7" t="inlineStr">
        <is>
          <t>Atenea</t>
        </is>
      </c>
      <c r="F51" s="7" t="inlineStr"/>
      <c r="G51" s="7" t="inlineStr">
        <is>
          <t>INV-042</t>
        </is>
      </c>
      <c r="H51" s="7" t="inlineStr">
        <is>
          <t>EJEMPLAR 1</t>
        </is>
      </c>
      <c r="I51" s="7" t="inlineStr">
        <is>
          <t>INVENTARIO TRUEQUE.xlsx</t>
        </is>
      </c>
      <c r="J51" s="7" t="n">
        <v>44</v>
      </c>
      <c r="K51" s="7" t="inlineStr">
        <is>
          <t>42</t>
        </is>
      </c>
      <c r="L51" s="7" t="inlineStr">
        <is>
          <t>1</t>
        </is>
      </c>
      <c r="M51" s="7" t="inlineStr">
        <is>
          <t>Posible duplicado de: INV-016 (INVENTARIO)</t>
        </is>
      </c>
      <c r="N51" s="7" t="inlineStr">
        <is>
          <t>DUPLICADO_MISMA_FUENTE</t>
        </is>
      </c>
      <c r="O51" s="7">
        <f>IFERROR(IF(VLOOKUP($A51,Recepcion!$A$2:$I$85,4,FALSE)="SÍ",IF(VLOOKUP($A51,Recepcion!$A$2:$I$85,5,FALSE)="ACEPTADO","DISPONIBLE",IF(VLOOKUP($A51,Recepcion!$A$2:$I$85,5,FALSE)="RECHAZADO","RECHAZADO","PENDIENTE_VERIFICACION")),IF(VLOOKUP($A51,Recepcion!$A$2:$I$85,4,FALSE)="NO","NO_PRESENTE","PENDIENTE_VERIFICACION")),"PENDIENTE_VERIFICACION")</f>
        <v/>
      </c>
      <c r="P51" s="7">
        <f>IF(O51="DISPONIBLE","SÍ","NO")</f>
        <v/>
      </c>
      <c r="Q51" s="7">
        <f>IF(COUNTIFS(Intercambios!$D$4:$D$103,A51,Intercambios!$G$4:$G$103,"REGISTRADO",Intercambios!$J$4:$J$103,"VÁLIDO")+COUNTIFS(Intercambios!$E$4:$E$103,A51,Intercambios!$G$4:$G$103,"REGISTRADO",Intercambios!$J$4:$J$103,"VÁLIDO")&gt;0,"INTERCAMBIADO",O51)</f>
        <v/>
      </c>
      <c r="R51" s="7">
        <f>IFERROR(VLOOKUP($A51,Recepcion!$A$2:$I$85,7,FALSE),"")</f>
        <v/>
      </c>
      <c r="S51" s="7">
        <f>IFERROR(VLOOKUP($A51,Recepcion!$A$2:$I$85,8,FALSE),"")</f>
        <v/>
      </c>
      <c r="T51" s="7">
        <f>IFERROR(VLOOKUP($A51,Recepcion!$A$2:$I$85,9,FALSE),"")</f>
        <v/>
      </c>
    </row>
    <row r="52">
      <c r="A52" s="7" t="inlineStr">
        <is>
          <t>CH-001</t>
        </is>
      </c>
      <c r="B52" s="7" t="inlineStr">
        <is>
          <t>BIB-046</t>
        </is>
      </c>
      <c r="C52" s="7" t="inlineStr">
        <is>
          <t>La ciudad de mis dolientes</t>
        </is>
      </c>
      <c r="D52" s="7" t="inlineStr">
        <is>
          <t>Adalberto Mieles Gómez</t>
        </is>
      </c>
      <c r="E52" s="7" t="inlineStr">
        <is>
          <t>San Barbara</t>
        </is>
      </c>
      <c r="F52" s="7" t="inlineStr">
        <is>
          <t>9789585810334</t>
        </is>
      </c>
      <c r="G52" s="7" t="inlineStr">
        <is>
          <t>CH-001</t>
        </is>
      </c>
      <c r="H52" s="7" t="inlineStr">
        <is>
          <t>ITEM 1</t>
        </is>
      </c>
      <c r="I52" s="7" t="inlineStr">
        <is>
          <t>Libros para el Trueque Literario CH.xlsx</t>
        </is>
      </c>
      <c r="J52" s="7" t="n">
        <v>2</v>
      </c>
      <c r="K52" s="7" t="inlineStr">
        <is>
          <t>1</t>
        </is>
      </c>
      <c r="L52" s="7" t="inlineStr"/>
      <c r="M52" s="7" t="inlineStr">
        <is>
          <t>Posible duplicado de: INV-061 (INVENTARIO)</t>
        </is>
      </c>
      <c r="N52" s="7" t="inlineStr">
        <is>
          <t>POSIBLE_DUPLICADO_ENTRE_FUENTES</t>
        </is>
      </c>
      <c r="O52" s="7">
        <f>IFERROR(IF(VLOOKUP($A52,Recepcion!$A$2:$I$85,4,FALSE)="SÍ",IF(VLOOKUP($A52,Recepcion!$A$2:$I$85,5,FALSE)="ACEPTADO","DISPONIBLE",IF(VLOOKUP($A52,Recepcion!$A$2:$I$85,5,FALSE)="RECHAZADO","RECHAZADO","PENDIENTE_VERIFICACION")),IF(VLOOKUP($A52,Recepcion!$A$2:$I$85,4,FALSE)="NO","NO_PRESENTE","PENDIENTE_VERIFICACION")),"PENDIENTE_VERIFICACION")</f>
        <v/>
      </c>
      <c r="P52" s="7">
        <f>IF(O52="DISPONIBLE","SÍ","NO")</f>
        <v/>
      </c>
      <c r="Q52" s="7">
        <f>IF(COUNTIFS(Intercambios!$D$4:$D$103,A52,Intercambios!$G$4:$G$103,"REGISTRADO",Intercambios!$J$4:$J$103,"VÁLIDO")+COUNTIFS(Intercambios!$E$4:$E$103,A52,Intercambios!$G$4:$G$103,"REGISTRADO",Intercambios!$J$4:$J$103,"VÁLIDO")&gt;0,"INTERCAMBIADO",O52)</f>
        <v/>
      </c>
      <c r="R52" s="7">
        <f>IFERROR(VLOOKUP($A52,Recepcion!$A$2:$I$85,7,FALSE),"")</f>
        <v/>
      </c>
      <c r="S52" s="7">
        <f>IFERROR(VLOOKUP($A52,Recepcion!$A$2:$I$85,8,FALSE),"")</f>
        <v/>
      </c>
      <c r="T52" s="7">
        <f>IFERROR(VLOOKUP($A52,Recepcion!$A$2:$I$85,9,FALSE),"")</f>
        <v/>
      </c>
    </row>
    <row r="53">
      <c r="A53" s="7" t="inlineStr">
        <is>
          <t>INV-061</t>
        </is>
      </c>
      <c r="B53" s="7" t="inlineStr">
        <is>
          <t>BIB-046</t>
        </is>
      </c>
      <c r="C53" s="7" t="inlineStr">
        <is>
          <t>La ciudad de mis dolientes</t>
        </is>
      </c>
      <c r="D53" s="7" t="inlineStr">
        <is>
          <t>Adalberto Mieles Gómez</t>
        </is>
      </c>
      <c r="E53" s="7" t="inlineStr">
        <is>
          <t>San Barbara</t>
        </is>
      </c>
      <c r="F53" s="7" t="inlineStr"/>
      <c r="G53" s="7" t="inlineStr">
        <is>
          <t>INV-061</t>
        </is>
      </c>
      <c r="H53" s="7" t="inlineStr">
        <is>
          <t>EJEMPLAR 1</t>
        </is>
      </c>
      <c r="I53" s="7" t="inlineStr">
        <is>
          <t>INVENTARIO TRUEQUE.xlsx</t>
        </is>
      </c>
      <c r="J53" s="7" t="n">
        <v>63</v>
      </c>
      <c r="K53" s="7" t="inlineStr">
        <is>
          <t>61</t>
        </is>
      </c>
      <c r="L53" s="7" t="inlineStr">
        <is>
          <t>1</t>
        </is>
      </c>
      <c r="M53" s="7" t="inlineStr">
        <is>
          <t>Posible duplicado de: CH-001 (CH)</t>
        </is>
      </c>
      <c r="N53" s="7" t="inlineStr">
        <is>
          <t>POSIBLE_DUPLICADO_ENTRE_FUENTES</t>
        </is>
      </c>
      <c r="O53" s="7">
        <f>IFERROR(IF(VLOOKUP($A53,Recepcion!$A$2:$I$85,4,FALSE)="SÍ",IF(VLOOKUP($A53,Recepcion!$A$2:$I$85,5,FALSE)="ACEPTADO","DISPONIBLE",IF(VLOOKUP($A53,Recepcion!$A$2:$I$85,5,FALSE)="RECHAZADO","RECHAZADO","PENDIENTE_VERIFICACION")),IF(VLOOKUP($A53,Recepcion!$A$2:$I$85,4,FALSE)="NO","NO_PRESENTE","PENDIENTE_VERIFICACION")),"PENDIENTE_VERIFICACION")</f>
        <v/>
      </c>
      <c r="P53" s="7">
        <f>IF(O53="DISPONIBLE","SÍ","NO")</f>
        <v/>
      </c>
      <c r="Q53" s="7">
        <f>IF(COUNTIFS(Intercambios!$D$4:$D$103,A53,Intercambios!$G$4:$G$103,"REGISTRADO",Intercambios!$J$4:$J$103,"VÁLIDO")+COUNTIFS(Intercambios!$E$4:$E$103,A53,Intercambios!$G$4:$G$103,"REGISTRADO",Intercambios!$J$4:$J$103,"VÁLIDO")&gt;0,"INTERCAMBIADO",O53)</f>
        <v/>
      </c>
      <c r="R53" s="7">
        <f>IFERROR(VLOOKUP($A53,Recepcion!$A$2:$I$85,7,FALSE),"")</f>
        <v/>
      </c>
      <c r="S53" s="7">
        <f>IFERROR(VLOOKUP($A53,Recepcion!$A$2:$I$85,8,FALSE),"")</f>
        <v/>
      </c>
      <c r="T53" s="7">
        <f>IFERROR(VLOOKUP($A53,Recepcion!$A$2:$I$85,9,FALSE),"")</f>
        <v/>
      </c>
    </row>
    <row r="54">
      <c r="A54" s="7" t="inlineStr">
        <is>
          <t>INV-022</t>
        </is>
      </c>
      <c r="B54" s="7" t="inlineStr">
        <is>
          <t>BIB-047</t>
        </is>
      </c>
      <c r="C54" s="7" t="inlineStr">
        <is>
          <t>La Nueva Tierra</t>
        </is>
      </c>
      <c r="D54" s="7" t="inlineStr">
        <is>
          <t>Jordi Sierra i Fabra</t>
        </is>
      </c>
      <c r="E54" s="7" t="inlineStr">
        <is>
          <t>Alfaguara Juvenil</t>
        </is>
      </c>
      <c r="F54" s="7" t="inlineStr"/>
      <c r="G54" s="7" t="inlineStr">
        <is>
          <t>INV-022</t>
        </is>
      </c>
      <c r="H54" s="7" t="inlineStr">
        <is>
          <t>EJEMPLAR 1</t>
        </is>
      </c>
      <c r="I54" s="7" t="inlineStr">
        <is>
          <t>INVENTARIO TRUEQUE.xlsx</t>
        </is>
      </c>
      <c r="J54" s="7" t="n">
        <v>24</v>
      </c>
      <c r="K54" s="7" t="inlineStr">
        <is>
          <t>22</t>
        </is>
      </c>
      <c r="L54" s="7" t="inlineStr">
        <is>
          <t>1</t>
        </is>
      </c>
      <c r="M54" s="7" t="inlineStr"/>
      <c r="N54" s="7" t="inlineStr"/>
      <c r="O54" s="7">
        <f>IFERROR(IF(VLOOKUP($A54,Recepcion!$A$2:$I$85,4,FALSE)="SÍ",IF(VLOOKUP($A54,Recepcion!$A$2:$I$85,5,FALSE)="ACEPTADO","DISPONIBLE",IF(VLOOKUP($A54,Recepcion!$A$2:$I$85,5,FALSE)="RECHAZADO","RECHAZADO","PENDIENTE_VERIFICACION")),IF(VLOOKUP($A54,Recepcion!$A$2:$I$85,4,FALSE)="NO","NO_PRESENTE","PENDIENTE_VERIFICACION")),"PENDIENTE_VERIFICACION")</f>
        <v/>
      </c>
      <c r="P54" s="7">
        <f>IF(O54="DISPONIBLE","SÍ","NO")</f>
        <v/>
      </c>
      <c r="Q54" s="7">
        <f>IF(COUNTIFS(Intercambios!$D$4:$D$103,A54,Intercambios!$G$4:$G$103,"REGISTRADO",Intercambios!$J$4:$J$103,"VÁLIDO")+COUNTIFS(Intercambios!$E$4:$E$103,A54,Intercambios!$G$4:$G$103,"REGISTRADO",Intercambios!$J$4:$J$103,"VÁLIDO")&gt;0,"INTERCAMBIADO",O54)</f>
        <v/>
      </c>
      <c r="R54" s="7">
        <f>IFERROR(VLOOKUP($A54,Recepcion!$A$2:$I$85,7,FALSE),"")</f>
        <v/>
      </c>
      <c r="S54" s="7">
        <f>IFERROR(VLOOKUP($A54,Recepcion!$A$2:$I$85,8,FALSE),"")</f>
        <v/>
      </c>
      <c r="T54" s="7">
        <f>IFERROR(VLOOKUP($A54,Recepcion!$A$2:$I$85,9,FALSE),"")</f>
        <v/>
      </c>
    </row>
    <row r="55">
      <c r="A55" s="7" t="inlineStr">
        <is>
          <t>INV-014</t>
        </is>
      </c>
      <c r="B55" s="7" t="inlineStr">
        <is>
          <t>BIB-048</t>
        </is>
      </c>
      <c r="C55" s="7" t="inlineStr">
        <is>
          <t>La Odisea</t>
        </is>
      </c>
      <c r="D55" s="7" t="inlineStr">
        <is>
          <t>Homero</t>
        </is>
      </c>
      <c r="E55" s="7" t="inlineStr">
        <is>
          <t>Artemisa</t>
        </is>
      </c>
      <c r="F55" s="7" t="inlineStr"/>
      <c r="G55" s="7" t="inlineStr">
        <is>
          <t>INV-014</t>
        </is>
      </c>
      <c r="H55" s="7" t="inlineStr">
        <is>
          <t>EJEMPLAR 1</t>
        </is>
      </c>
      <c r="I55" s="7" t="inlineStr">
        <is>
          <t>INVENTARIO TRUEQUE.xlsx</t>
        </is>
      </c>
      <c r="J55" s="7" t="n">
        <v>16</v>
      </c>
      <c r="K55" s="7" t="inlineStr">
        <is>
          <t>14</t>
        </is>
      </c>
      <c r="L55" s="7" t="inlineStr">
        <is>
          <t>1</t>
        </is>
      </c>
      <c r="M55" s="7" t="inlineStr"/>
      <c r="N55" s="7" t="inlineStr"/>
      <c r="O55" s="7">
        <f>IFERROR(IF(VLOOKUP($A55,Recepcion!$A$2:$I$85,4,FALSE)="SÍ",IF(VLOOKUP($A55,Recepcion!$A$2:$I$85,5,FALSE)="ACEPTADO","DISPONIBLE",IF(VLOOKUP($A55,Recepcion!$A$2:$I$85,5,FALSE)="RECHAZADO","RECHAZADO","PENDIENTE_VERIFICACION")),IF(VLOOKUP($A55,Recepcion!$A$2:$I$85,4,FALSE)="NO","NO_PRESENTE","PENDIENTE_VERIFICACION")),"PENDIENTE_VERIFICACION")</f>
        <v/>
      </c>
      <c r="P55" s="7">
        <f>IF(O55="DISPONIBLE","SÍ","NO")</f>
        <v/>
      </c>
      <c r="Q55" s="7">
        <f>IF(COUNTIFS(Intercambios!$D$4:$D$103,A55,Intercambios!$G$4:$G$103,"REGISTRADO",Intercambios!$J$4:$J$103,"VÁLIDO")+COUNTIFS(Intercambios!$E$4:$E$103,A55,Intercambios!$G$4:$G$103,"REGISTRADO",Intercambios!$J$4:$J$103,"VÁLIDO")&gt;0,"INTERCAMBIADO",O55)</f>
        <v/>
      </c>
      <c r="R55" s="7">
        <f>IFERROR(VLOOKUP($A55,Recepcion!$A$2:$I$85,7,FALSE),"")</f>
        <v/>
      </c>
      <c r="S55" s="7">
        <f>IFERROR(VLOOKUP($A55,Recepcion!$A$2:$I$85,8,FALSE),"")</f>
        <v/>
      </c>
      <c r="T55" s="7">
        <f>IFERROR(VLOOKUP($A55,Recepcion!$A$2:$I$85,9,FALSE),"")</f>
        <v/>
      </c>
    </row>
    <row r="56">
      <c r="A56" s="7" t="inlineStr">
        <is>
          <t>CH-004</t>
        </is>
      </c>
      <c r="B56" s="7" t="inlineStr">
        <is>
          <t>BIB-049</t>
        </is>
      </c>
      <c r="C56" s="7" t="inlineStr">
        <is>
          <t>La revelacion de la Decima</t>
        </is>
      </c>
      <c r="D56" s="7" t="inlineStr">
        <is>
          <t>Zora Silvera Dany</t>
        </is>
      </c>
      <c r="E56" s="7" t="inlineStr">
        <is>
          <t>San Barbara</t>
        </is>
      </c>
      <c r="F56" s="7" t="inlineStr">
        <is>
          <t>9789588905341</t>
        </is>
      </c>
      <c r="G56" s="7" t="inlineStr">
        <is>
          <t>CH-004</t>
        </is>
      </c>
      <c r="H56" s="7" t="inlineStr">
        <is>
          <t>ITEM 4</t>
        </is>
      </c>
      <c r="I56" s="7" t="inlineStr">
        <is>
          <t>Libros para el Trueque Literario CH.xlsx</t>
        </is>
      </c>
      <c r="J56" s="7" t="n">
        <v>5</v>
      </c>
      <c r="K56" s="7" t="inlineStr">
        <is>
          <t>4</t>
        </is>
      </c>
      <c r="L56" s="7" t="inlineStr"/>
      <c r="M56" s="7" t="inlineStr">
        <is>
          <t>Posible duplicado de: INV-064 (INVENTARIO)</t>
        </is>
      </c>
      <c r="N56" s="7" t="inlineStr">
        <is>
          <t>POSIBLE_DUPLICADO_ENTRE_FUENTES</t>
        </is>
      </c>
      <c r="O56" s="7">
        <f>IFERROR(IF(VLOOKUP($A56,Recepcion!$A$2:$I$85,4,FALSE)="SÍ",IF(VLOOKUP($A56,Recepcion!$A$2:$I$85,5,FALSE)="ACEPTADO","DISPONIBLE",IF(VLOOKUP($A56,Recepcion!$A$2:$I$85,5,FALSE)="RECHAZADO","RECHAZADO","PENDIENTE_VERIFICACION")),IF(VLOOKUP($A56,Recepcion!$A$2:$I$85,4,FALSE)="NO","NO_PRESENTE","PENDIENTE_VERIFICACION")),"PENDIENTE_VERIFICACION")</f>
        <v/>
      </c>
      <c r="P56" s="7">
        <f>IF(O56="DISPONIBLE","SÍ","NO")</f>
        <v/>
      </c>
      <c r="Q56" s="7">
        <f>IF(COUNTIFS(Intercambios!$D$4:$D$103,A56,Intercambios!$G$4:$G$103,"REGISTRADO",Intercambios!$J$4:$J$103,"VÁLIDO")+COUNTIFS(Intercambios!$E$4:$E$103,A56,Intercambios!$G$4:$G$103,"REGISTRADO",Intercambios!$J$4:$J$103,"VÁLIDO")&gt;0,"INTERCAMBIADO",O56)</f>
        <v/>
      </c>
      <c r="R56" s="7">
        <f>IFERROR(VLOOKUP($A56,Recepcion!$A$2:$I$85,7,FALSE),"")</f>
        <v/>
      </c>
      <c r="S56" s="7">
        <f>IFERROR(VLOOKUP($A56,Recepcion!$A$2:$I$85,8,FALSE),"")</f>
        <v/>
      </c>
      <c r="T56" s="7">
        <f>IFERROR(VLOOKUP($A56,Recepcion!$A$2:$I$85,9,FALSE),"")</f>
        <v/>
      </c>
    </row>
    <row r="57">
      <c r="A57" s="7" t="inlineStr">
        <is>
          <t>INV-064</t>
        </is>
      </c>
      <c r="B57" s="7" t="inlineStr">
        <is>
          <t>BIB-049</t>
        </is>
      </c>
      <c r="C57" s="7" t="inlineStr">
        <is>
          <t>La revelacion de la Decima</t>
        </is>
      </c>
      <c r="D57" s="7" t="inlineStr">
        <is>
          <t>Dany Zora Silvera</t>
        </is>
      </c>
      <c r="E57" s="7" t="inlineStr">
        <is>
          <t>San Barbara</t>
        </is>
      </c>
      <c r="F57" s="7" t="inlineStr"/>
      <c r="G57" s="7" t="inlineStr">
        <is>
          <t>INV-064</t>
        </is>
      </c>
      <c r="H57" s="7" t="inlineStr">
        <is>
          <t>EJEMPLAR 1</t>
        </is>
      </c>
      <c r="I57" s="7" t="inlineStr">
        <is>
          <t>INVENTARIO TRUEQUE.xlsx</t>
        </is>
      </c>
      <c r="J57" s="7" t="n">
        <v>66</v>
      </c>
      <c r="K57" s="7" t="inlineStr">
        <is>
          <t>64</t>
        </is>
      </c>
      <c r="L57" s="7" t="inlineStr">
        <is>
          <t>1</t>
        </is>
      </c>
      <c r="M57" s="7" t="inlineStr">
        <is>
          <t>Posible duplicado de: CH-004 (CH)</t>
        </is>
      </c>
      <c r="N57" s="7" t="inlineStr">
        <is>
          <t>POSIBLE_DUPLICADO_ENTRE_FUENTES</t>
        </is>
      </c>
      <c r="O57" s="7">
        <f>IFERROR(IF(VLOOKUP($A57,Recepcion!$A$2:$I$85,4,FALSE)="SÍ",IF(VLOOKUP($A57,Recepcion!$A$2:$I$85,5,FALSE)="ACEPTADO","DISPONIBLE",IF(VLOOKUP($A57,Recepcion!$A$2:$I$85,5,FALSE)="RECHAZADO","RECHAZADO","PENDIENTE_VERIFICACION")),IF(VLOOKUP($A57,Recepcion!$A$2:$I$85,4,FALSE)="NO","NO_PRESENTE","PENDIENTE_VERIFICACION")),"PENDIENTE_VERIFICACION")</f>
        <v/>
      </c>
      <c r="P57" s="7">
        <f>IF(O57="DISPONIBLE","SÍ","NO")</f>
        <v/>
      </c>
      <c r="Q57" s="7">
        <f>IF(COUNTIFS(Intercambios!$D$4:$D$103,A57,Intercambios!$G$4:$G$103,"REGISTRADO",Intercambios!$J$4:$J$103,"VÁLIDO")+COUNTIFS(Intercambios!$E$4:$E$103,A57,Intercambios!$G$4:$G$103,"REGISTRADO",Intercambios!$J$4:$J$103,"VÁLIDO")&gt;0,"INTERCAMBIADO",O57)</f>
        <v/>
      </c>
      <c r="R57" s="7">
        <f>IFERROR(VLOOKUP($A57,Recepcion!$A$2:$I$85,7,FALSE),"")</f>
        <v/>
      </c>
      <c r="S57" s="7">
        <f>IFERROR(VLOOKUP($A57,Recepcion!$A$2:$I$85,8,FALSE),"")</f>
        <v/>
      </c>
      <c r="T57" s="7">
        <f>IFERROR(VLOOKUP($A57,Recepcion!$A$2:$I$85,9,FALSE),"")</f>
        <v/>
      </c>
    </row>
    <row r="58">
      <c r="A58" s="7" t="inlineStr">
        <is>
          <t>INV-028</t>
        </is>
      </c>
      <c r="B58" s="7" t="inlineStr">
        <is>
          <t>BIB-050</t>
        </is>
      </c>
      <c r="C58" s="7" t="inlineStr">
        <is>
          <t>Las Estrellas son Negras</t>
        </is>
      </c>
      <c r="D58" s="7" t="inlineStr">
        <is>
          <t>Arnoldo Palacios</t>
        </is>
      </c>
      <c r="E58" s="7" t="inlineStr">
        <is>
          <t>Intermedio</t>
        </is>
      </c>
      <c r="F58" s="7" t="inlineStr"/>
      <c r="G58" s="7" t="inlineStr">
        <is>
          <t>INV-028</t>
        </is>
      </c>
      <c r="H58" s="7" t="inlineStr">
        <is>
          <t>EJEMPLAR 1</t>
        </is>
      </c>
      <c r="I58" s="7" t="inlineStr">
        <is>
          <t>INVENTARIO TRUEQUE.xlsx</t>
        </is>
      </c>
      <c r="J58" s="7" t="n">
        <v>30</v>
      </c>
      <c r="K58" s="7" t="inlineStr">
        <is>
          <t>28</t>
        </is>
      </c>
      <c r="L58" s="7" t="inlineStr">
        <is>
          <t>1</t>
        </is>
      </c>
      <c r="M58" s="7" t="inlineStr"/>
      <c r="N58" s="7" t="inlineStr"/>
      <c r="O58" s="7">
        <f>IFERROR(IF(VLOOKUP($A58,Recepcion!$A$2:$I$85,4,FALSE)="SÍ",IF(VLOOKUP($A58,Recepcion!$A$2:$I$85,5,FALSE)="ACEPTADO","DISPONIBLE",IF(VLOOKUP($A58,Recepcion!$A$2:$I$85,5,FALSE)="RECHAZADO","RECHAZADO","PENDIENTE_VERIFICACION")),IF(VLOOKUP($A58,Recepcion!$A$2:$I$85,4,FALSE)="NO","NO_PRESENTE","PENDIENTE_VERIFICACION")),"PENDIENTE_VERIFICACION")</f>
        <v/>
      </c>
      <c r="P58" s="7">
        <f>IF(O58="DISPONIBLE","SÍ","NO")</f>
        <v/>
      </c>
      <c r="Q58" s="7">
        <f>IF(COUNTIFS(Intercambios!$D$4:$D$103,A58,Intercambios!$G$4:$G$103,"REGISTRADO",Intercambios!$J$4:$J$103,"VÁLIDO")+COUNTIFS(Intercambios!$E$4:$E$103,A58,Intercambios!$G$4:$G$103,"REGISTRADO",Intercambios!$J$4:$J$103,"VÁLIDO")&gt;0,"INTERCAMBIADO",O58)</f>
        <v/>
      </c>
      <c r="R58" s="7">
        <f>IFERROR(VLOOKUP($A58,Recepcion!$A$2:$I$85,7,FALSE),"")</f>
        <v/>
      </c>
      <c r="S58" s="7">
        <f>IFERROR(VLOOKUP($A58,Recepcion!$A$2:$I$85,8,FALSE),"")</f>
        <v/>
      </c>
      <c r="T58" s="7">
        <f>IFERROR(VLOOKUP($A58,Recepcion!$A$2:$I$85,9,FALSE),"")</f>
        <v/>
      </c>
    </row>
    <row r="59">
      <c r="A59" s="7" t="inlineStr">
        <is>
          <t>INV-030</t>
        </is>
      </c>
      <c r="B59" s="7" t="inlineStr">
        <is>
          <t>BIB-051</t>
        </is>
      </c>
      <c r="C59" s="7" t="inlineStr">
        <is>
          <t>Las Mujeres del Quijote</t>
        </is>
      </c>
      <c r="D59" s="7" t="inlineStr">
        <is>
          <t>Miguel de Cervantes Saavedra</t>
        </is>
      </c>
      <c r="E59" s="7" t="inlineStr">
        <is>
          <t>N/E</t>
        </is>
      </c>
      <c r="F59" s="7" t="inlineStr"/>
      <c r="G59" s="7" t="inlineStr">
        <is>
          <t>INV-030</t>
        </is>
      </c>
      <c r="H59" s="7" t="inlineStr">
        <is>
          <t>EJEMPLAR 1</t>
        </is>
      </c>
      <c r="I59" s="7" t="inlineStr">
        <is>
          <t>INVENTARIO TRUEQUE.xlsx</t>
        </is>
      </c>
      <c r="J59" s="7" t="n">
        <v>32</v>
      </c>
      <c r="K59" s="7" t="inlineStr">
        <is>
          <t>30</t>
        </is>
      </c>
      <c r="L59" s="7" t="inlineStr">
        <is>
          <t>1</t>
        </is>
      </c>
      <c r="M59" s="7" t="inlineStr">
        <is>
          <t>Posible duplicado de: INV-031 (INVENTARIO)</t>
        </is>
      </c>
      <c r="N59" s="7" t="inlineStr">
        <is>
          <t>DUPLICADO_MISMA_FUENTE</t>
        </is>
      </c>
      <c r="O59" s="7">
        <f>IFERROR(IF(VLOOKUP($A59,Recepcion!$A$2:$I$85,4,FALSE)="SÍ",IF(VLOOKUP($A59,Recepcion!$A$2:$I$85,5,FALSE)="ACEPTADO","DISPONIBLE",IF(VLOOKUP($A59,Recepcion!$A$2:$I$85,5,FALSE)="RECHAZADO","RECHAZADO","PENDIENTE_VERIFICACION")),IF(VLOOKUP($A59,Recepcion!$A$2:$I$85,4,FALSE)="NO","NO_PRESENTE","PENDIENTE_VERIFICACION")),"PENDIENTE_VERIFICACION")</f>
        <v/>
      </c>
      <c r="P59" s="7">
        <f>IF(O59="DISPONIBLE","SÍ","NO")</f>
        <v/>
      </c>
      <c r="Q59" s="7">
        <f>IF(COUNTIFS(Intercambios!$D$4:$D$103,A59,Intercambios!$G$4:$G$103,"REGISTRADO",Intercambios!$J$4:$J$103,"VÁLIDO")+COUNTIFS(Intercambios!$E$4:$E$103,A59,Intercambios!$G$4:$G$103,"REGISTRADO",Intercambios!$J$4:$J$103,"VÁLIDO")&gt;0,"INTERCAMBIADO",O59)</f>
        <v/>
      </c>
      <c r="R59" s="7">
        <f>IFERROR(VLOOKUP($A59,Recepcion!$A$2:$I$85,7,FALSE),"")</f>
        <v/>
      </c>
      <c r="S59" s="7">
        <f>IFERROR(VLOOKUP($A59,Recepcion!$A$2:$I$85,8,FALSE),"")</f>
        <v/>
      </c>
      <c r="T59" s="7">
        <f>IFERROR(VLOOKUP($A59,Recepcion!$A$2:$I$85,9,FALSE),"")</f>
        <v/>
      </c>
    </row>
    <row r="60">
      <c r="A60" s="7" t="inlineStr">
        <is>
          <t>INV-031</t>
        </is>
      </c>
      <c r="B60" s="7" t="inlineStr">
        <is>
          <t>BIB-051</t>
        </is>
      </c>
      <c r="C60" s="7" t="inlineStr">
        <is>
          <t>Las Mujeres del Quijote</t>
        </is>
      </c>
      <c r="D60" s="7" t="inlineStr">
        <is>
          <t>Miguel de Cervantes Saavedra</t>
        </is>
      </c>
      <c r="E60" s="7" t="inlineStr">
        <is>
          <t>N/E</t>
        </is>
      </c>
      <c r="F60" s="7" t="inlineStr"/>
      <c r="G60" s="7" t="inlineStr">
        <is>
          <t>INV-031</t>
        </is>
      </c>
      <c r="H60" s="7" t="inlineStr">
        <is>
          <t>EJEMPLAR 2</t>
        </is>
      </c>
      <c r="I60" s="7" t="inlineStr">
        <is>
          <t>INVENTARIO TRUEQUE.xlsx</t>
        </is>
      </c>
      <c r="J60" s="7" t="n">
        <v>33</v>
      </c>
      <c r="K60" s="7" t="inlineStr">
        <is>
          <t>31</t>
        </is>
      </c>
      <c r="L60" s="7" t="inlineStr">
        <is>
          <t>2</t>
        </is>
      </c>
      <c r="M60" s="7" t="inlineStr">
        <is>
          <t>Posible duplicado de: INV-030 (INVENTARIO)</t>
        </is>
      </c>
      <c r="N60" s="7" t="inlineStr">
        <is>
          <t>DUPLICADO_MISMA_FUENTE</t>
        </is>
      </c>
      <c r="O60" s="7">
        <f>IFERROR(IF(VLOOKUP($A60,Recepcion!$A$2:$I$85,4,FALSE)="SÍ",IF(VLOOKUP($A60,Recepcion!$A$2:$I$85,5,FALSE)="ACEPTADO","DISPONIBLE",IF(VLOOKUP($A60,Recepcion!$A$2:$I$85,5,FALSE)="RECHAZADO","RECHAZADO","PENDIENTE_VERIFICACION")),IF(VLOOKUP($A60,Recepcion!$A$2:$I$85,4,FALSE)="NO","NO_PRESENTE","PENDIENTE_VERIFICACION")),"PENDIENTE_VERIFICACION")</f>
        <v/>
      </c>
      <c r="P60" s="7">
        <f>IF(O60="DISPONIBLE","SÍ","NO")</f>
        <v/>
      </c>
      <c r="Q60" s="7">
        <f>IF(COUNTIFS(Intercambios!$D$4:$D$103,A60,Intercambios!$G$4:$G$103,"REGISTRADO",Intercambios!$J$4:$J$103,"VÁLIDO")+COUNTIFS(Intercambios!$E$4:$E$103,A60,Intercambios!$G$4:$G$103,"REGISTRADO",Intercambios!$J$4:$J$103,"VÁLIDO")&gt;0,"INTERCAMBIADO",O60)</f>
        <v/>
      </c>
      <c r="R60" s="7">
        <f>IFERROR(VLOOKUP($A60,Recepcion!$A$2:$I$85,7,FALSE),"")</f>
        <v/>
      </c>
      <c r="S60" s="7">
        <f>IFERROR(VLOOKUP($A60,Recepcion!$A$2:$I$85,8,FALSE),"")</f>
        <v/>
      </c>
      <c r="T60" s="7">
        <f>IFERROR(VLOOKUP($A60,Recepcion!$A$2:$I$85,9,FALSE),"")</f>
        <v/>
      </c>
    </row>
    <row r="61">
      <c r="A61" s="7" t="inlineStr">
        <is>
          <t>INV-038</t>
        </is>
      </c>
      <c r="B61" s="7" t="inlineStr">
        <is>
          <t>BIB-052</t>
        </is>
      </c>
      <c r="C61" s="7" t="inlineStr">
        <is>
          <t>Lazarillo de Tormes</t>
        </is>
      </c>
      <c r="D61" s="7" t="inlineStr">
        <is>
          <t>Anonimo</t>
        </is>
      </c>
      <c r="E61" s="7" t="inlineStr">
        <is>
          <t>N/E</t>
        </is>
      </c>
      <c r="F61" s="7" t="inlineStr"/>
      <c r="G61" s="7" t="inlineStr">
        <is>
          <t>INV-038</t>
        </is>
      </c>
      <c r="H61" s="7" t="inlineStr">
        <is>
          <t>EJEMPLAR 1</t>
        </is>
      </c>
      <c r="I61" s="7" t="inlineStr">
        <is>
          <t>INVENTARIO TRUEQUE.xlsx</t>
        </is>
      </c>
      <c r="J61" s="7" t="n">
        <v>40</v>
      </c>
      <c r="K61" s="7" t="inlineStr">
        <is>
          <t>38</t>
        </is>
      </c>
      <c r="L61" s="7" t="inlineStr">
        <is>
          <t>1</t>
        </is>
      </c>
      <c r="M61" s="7" t="inlineStr"/>
      <c r="N61" s="7" t="inlineStr"/>
      <c r="O61" s="7">
        <f>IFERROR(IF(VLOOKUP($A61,Recepcion!$A$2:$I$85,4,FALSE)="SÍ",IF(VLOOKUP($A61,Recepcion!$A$2:$I$85,5,FALSE)="ACEPTADO","DISPONIBLE",IF(VLOOKUP($A61,Recepcion!$A$2:$I$85,5,FALSE)="RECHAZADO","RECHAZADO","PENDIENTE_VERIFICACION")),IF(VLOOKUP($A61,Recepcion!$A$2:$I$85,4,FALSE)="NO","NO_PRESENTE","PENDIENTE_VERIFICACION")),"PENDIENTE_VERIFICACION")</f>
        <v/>
      </c>
      <c r="P61" s="7">
        <f>IF(O61="DISPONIBLE","SÍ","NO")</f>
        <v/>
      </c>
      <c r="Q61" s="7">
        <f>IF(COUNTIFS(Intercambios!$D$4:$D$103,A61,Intercambios!$G$4:$G$103,"REGISTRADO",Intercambios!$J$4:$J$103,"VÁLIDO")+COUNTIFS(Intercambios!$E$4:$E$103,A61,Intercambios!$G$4:$G$103,"REGISTRADO",Intercambios!$J$4:$J$103,"VÁLIDO")&gt;0,"INTERCAMBIADO",O61)</f>
        <v/>
      </c>
      <c r="R61" s="7">
        <f>IFERROR(VLOOKUP($A61,Recepcion!$A$2:$I$85,7,FALSE),"")</f>
        <v/>
      </c>
      <c r="S61" s="7">
        <f>IFERROR(VLOOKUP($A61,Recepcion!$A$2:$I$85,8,FALSE),"")</f>
        <v/>
      </c>
      <c r="T61" s="7">
        <f>IFERROR(VLOOKUP($A61,Recepcion!$A$2:$I$85,9,FALSE),"")</f>
        <v/>
      </c>
    </row>
    <row r="62">
      <c r="A62" s="7" t="inlineStr">
        <is>
          <t>INV-048</t>
        </is>
      </c>
      <c r="B62" s="7" t="inlineStr">
        <is>
          <t>BIB-053</t>
        </is>
      </c>
      <c r="C62" s="7" t="inlineStr">
        <is>
          <t>Leyendas, Narraciones y Cuentos del Caribe Colombiano</t>
        </is>
      </c>
      <c r="D62" s="7" t="inlineStr">
        <is>
          <t>Martin Orozco Cantillo</t>
        </is>
      </c>
      <c r="E62" s="7" t="inlineStr">
        <is>
          <t>Sibila</t>
        </is>
      </c>
      <c r="F62" s="7" t="inlineStr"/>
      <c r="G62" s="7" t="inlineStr">
        <is>
          <t>INV-048</t>
        </is>
      </c>
      <c r="H62" s="7" t="inlineStr">
        <is>
          <t>EJEMPLAR 1</t>
        </is>
      </c>
      <c r="I62" s="7" t="inlineStr">
        <is>
          <t>INVENTARIO TRUEQUE.xlsx</t>
        </is>
      </c>
      <c r="J62" s="7" t="n">
        <v>50</v>
      </c>
      <c r="K62" s="7" t="inlineStr">
        <is>
          <t>48</t>
        </is>
      </c>
      <c r="L62" s="7" t="inlineStr">
        <is>
          <t>1</t>
        </is>
      </c>
      <c r="M62" s="7" t="inlineStr"/>
      <c r="N62" s="7" t="inlineStr"/>
      <c r="O62" s="7">
        <f>IFERROR(IF(VLOOKUP($A62,Recepcion!$A$2:$I$85,4,FALSE)="SÍ",IF(VLOOKUP($A62,Recepcion!$A$2:$I$85,5,FALSE)="ACEPTADO","DISPONIBLE",IF(VLOOKUP($A62,Recepcion!$A$2:$I$85,5,FALSE)="RECHAZADO","RECHAZADO","PENDIENTE_VERIFICACION")),IF(VLOOKUP($A62,Recepcion!$A$2:$I$85,4,FALSE)="NO","NO_PRESENTE","PENDIENTE_VERIFICACION")),"PENDIENTE_VERIFICACION")</f>
        <v/>
      </c>
      <c r="P62" s="7">
        <f>IF(O62="DISPONIBLE","SÍ","NO")</f>
        <v/>
      </c>
      <c r="Q62" s="7">
        <f>IF(COUNTIFS(Intercambios!$D$4:$D$103,A62,Intercambios!$G$4:$G$103,"REGISTRADO",Intercambios!$J$4:$J$103,"VÁLIDO")+COUNTIFS(Intercambios!$E$4:$E$103,A62,Intercambios!$G$4:$G$103,"REGISTRADO",Intercambios!$J$4:$J$103,"VÁLIDO")&gt;0,"INTERCAMBIADO",O62)</f>
        <v/>
      </c>
      <c r="R62" s="7">
        <f>IFERROR(VLOOKUP($A62,Recepcion!$A$2:$I$85,7,FALSE),"")</f>
        <v/>
      </c>
      <c r="S62" s="7">
        <f>IFERROR(VLOOKUP($A62,Recepcion!$A$2:$I$85,8,FALSE),"")</f>
        <v/>
      </c>
      <c r="T62" s="7">
        <f>IFERROR(VLOOKUP($A62,Recepcion!$A$2:$I$85,9,FALSE),"")</f>
        <v/>
      </c>
    </row>
    <row r="63">
      <c r="A63" s="7" t="inlineStr">
        <is>
          <t>CH-014</t>
        </is>
      </c>
      <c r="B63" s="7" t="inlineStr">
        <is>
          <t>BIB-054</t>
        </is>
      </c>
      <c r="C63" s="7" t="inlineStr">
        <is>
          <t>Los Frágiles</t>
        </is>
      </c>
      <c r="D63" s="7" t="inlineStr">
        <is>
          <t>Roumiguiére Cécile</t>
        </is>
      </c>
      <c r="E63" s="7" t="inlineStr">
        <is>
          <t>Norma</t>
        </is>
      </c>
      <c r="F63" s="7" t="inlineStr">
        <is>
          <t>9789580002062</t>
        </is>
      </c>
      <c r="G63" s="7" t="inlineStr">
        <is>
          <t>CH-014</t>
        </is>
      </c>
      <c r="H63" s="7" t="inlineStr">
        <is>
          <t>ITEM 14</t>
        </is>
      </c>
      <c r="I63" s="7" t="inlineStr">
        <is>
          <t>Libros para el Trueque Literario CH.xlsx</t>
        </is>
      </c>
      <c r="J63" s="7" t="n">
        <v>15</v>
      </c>
      <c r="K63" s="7" t="inlineStr">
        <is>
          <t>14</t>
        </is>
      </c>
      <c r="L63" s="7" t="inlineStr"/>
      <c r="M63" s="7" t="inlineStr"/>
      <c r="N63" s="7" t="inlineStr"/>
      <c r="O63" s="7">
        <f>IFERROR(IF(VLOOKUP($A63,Recepcion!$A$2:$I$85,4,FALSE)="SÍ",IF(VLOOKUP($A63,Recepcion!$A$2:$I$85,5,FALSE)="ACEPTADO","DISPONIBLE",IF(VLOOKUP($A63,Recepcion!$A$2:$I$85,5,FALSE)="RECHAZADO","RECHAZADO","PENDIENTE_VERIFICACION")),IF(VLOOKUP($A63,Recepcion!$A$2:$I$85,4,FALSE)="NO","NO_PRESENTE","PENDIENTE_VERIFICACION")),"PENDIENTE_VERIFICACION")</f>
        <v/>
      </c>
      <c r="P63" s="7">
        <f>IF(O63="DISPONIBLE","SÍ","NO")</f>
        <v/>
      </c>
      <c r="Q63" s="7">
        <f>IF(COUNTIFS(Intercambios!$D$4:$D$103,A63,Intercambios!$G$4:$G$103,"REGISTRADO",Intercambios!$J$4:$J$103,"VÁLIDO")+COUNTIFS(Intercambios!$E$4:$E$103,A63,Intercambios!$G$4:$G$103,"REGISTRADO",Intercambios!$J$4:$J$103,"VÁLIDO")&gt;0,"INTERCAMBIADO",O63)</f>
        <v/>
      </c>
      <c r="R63" s="7">
        <f>IFERROR(VLOOKUP($A63,Recepcion!$A$2:$I$85,7,FALSE),"")</f>
        <v/>
      </c>
      <c r="S63" s="7">
        <f>IFERROR(VLOOKUP($A63,Recepcion!$A$2:$I$85,8,FALSE),"")</f>
        <v/>
      </c>
      <c r="T63" s="7">
        <f>IFERROR(VLOOKUP($A63,Recepcion!$A$2:$I$85,9,FALSE),"")</f>
        <v/>
      </c>
    </row>
    <row r="64">
      <c r="A64" s="7" t="inlineStr">
        <is>
          <t>CH-009</t>
        </is>
      </c>
      <c r="B64" s="7" t="inlineStr">
        <is>
          <t>BIB-055</t>
        </is>
      </c>
      <c r="C64" s="7" t="inlineStr">
        <is>
          <t>Los Pargos Azules</t>
        </is>
      </c>
      <c r="D64" s="7" t="inlineStr">
        <is>
          <t>Corujo Elena</t>
        </is>
      </c>
      <c r="E64" s="7" t="inlineStr">
        <is>
          <t>Norma</t>
        </is>
      </c>
      <c r="F64" s="7" t="inlineStr">
        <is>
          <t>9789587764918</t>
        </is>
      </c>
      <c r="G64" s="7" t="inlineStr">
        <is>
          <t>CH-009</t>
        </is>
      </c>
      <c r="H64" s="7" t="inlineStr">
        <is>
          <t>ITEM 9</t>
        </is>
      </c>
      <c r="I64" s="7" t="inlineStr">
        <is>
          <t>Libros para el Trueque Literario CH.xlsx</t>
        </is>
      </c>
      <c r="J64" s="7" t="n">
        <v>10</v>
      </c>
      <c r="K64" s="7" t="inlineStr">
        <is>
          <t>9</t>
        </is>
      </c>
      <c r="L64" s="7" t="inlineStr"/>
      <c r="M64" s="7" t="inlineStr"/>
      <c r="N64" s="7" t="inlineStr"/>
      <c r="O64" s="7">
        <f>IFERROR(IF(VLOOKUP($A64,Recepcion!$A$2:$I$85,4,FALSE)="SÍ",IF(VLOOKUP($A64,Recepcion!$A$2:$I$85,5,FALSE)="ACEPTADO","DISPONIBLE",IF(VLOOKUP($A64,Recepcion!$A$2:$I$85,5,FALSE)="RECHAZADO","RECHAZADO","PENDIENTE_VERIFICACION")),IF(VLOOKUP($A64,Recepcion!$A$2:$I$85,4,FALSE)="NO","NO_PRESENTE","PENDIENTE_VERIFICACION")),"PENDIENTE_VERIFICACION")</f>
        <v/>
      </c>
      <c r="P64" s="7">
        <f>IF(O64="DISPONIBLE","SÍ","NO")</f>
        <v/>
      </c>
      <c r="Q64" s="7">
        <f>IF(COUNTIFS(Intercambios!$D$4:$D$103,A64,Intercambios!$G$4:$G$103,"REGISTRADO",Intercambios!$J$4:$J$103,"VÁLIDO")+COUNTIFS(Intercambios!$E$4:$E$103,A64,Intercambios!$G$4:$G$103,"REGISTRADO",Intercambios!$J$4:$J$103,"VÁLIDO")&gt;0,"INTERCAMBIADO",O64)</f>
        <v/>
      </c>
      <c r="R64" s="7">
        <f>IFERROR(VLOOKUP($A64,Recepcion!$A$2:$I$85,7,FALSE),"")</f>
        <v/>
      </c>
      <c r="S64" s="7">
        <f>IFERROR(VLOOKUP($A64,Recepcion!$A$2:$I$85,8,FALSE),"")</f>
        <v/>
      </c>
      <c r="T64" s="7">
        <f>IFERROR(VLOOKUP($A64,Recepcion!$A$2:$I$85,9,FALSE),"")</f>
        <v/>
      </c>
    </row>
    <row r="65">
      <c r="A65" s="7" t="inlineStr">
        <is>
          <t>INV-006</t>
        </is>
      </c>
      <c r="B65" s="7" t="inlineStr">
        <is>
          <t>BIB-056</t>
        </is>
      </c>
      <c r="C65" s="7" t="inlineStr">
        <is>
          <t>Los Siete Pasos Hacia el Amor</t>
        </is>
      </c>
      <c r="D65" s="7" t="inlineStr">
        <is>
          <t>Dalai Lama</t>
        </is>
      </c>
      <c r="E65" s="7" t="inlineStr">
        <is>
          <t>Debolsillo</t>
        </is>
      </c>
      <c r="F65" s="7" t="inlineStr"/>
      <c r="G65" s="7" t="inlineStr">
        <is>
          <t>INV-006</t>
        </is>
      </c>
      <c r="H65" s="7" t="inlineStr">
        <is>
          <t>EJEMPLAR 1</t>
        </is>
      </c>
      <c r="I65" s="7" t="inlineStr">
        <is>
          <t>INVENTARIO TRUEQUE.xlsx</t>
        </is>
      </c>
      <c r="J65" s="7" t="n">
        <v>8</v>
      </c>
      <c r="K65" s="7" t="inlineStr">
        <is>
          <t>6</t>
        </is>
      </c>
      <c r="L65" s="7" t="inlineStr">
        <is>
          <t>1</t>
        </is>
      </c>
      <c r="M65" s="7" t="inlineStr"/>
      <c r="N65" s="7" t="inlineStr"/>
      <c r="O65" s="7">
        <f>IFERROR(IF(VLOOKUP($A65,Recepcion!$A$2:$I$85,4,FALSE)="SÍ",IF(VLOOKUP($A65,Recepcion!$A$2:$I$85,5,FALSE)="ACEPTADO","DISPONIBLE",IF(VLOOKUP($A65,Recepcion!$A$2:$I$85,5,FALSE)="RECHAZADO","RECHAZADO","PENDIENTE_VERIFICACION")),IF(VLOOKUP($A65,Recepcion!$A$2:$I$85,4,FALSE)="NO","NO_PRESENTE","PENDIENTE_VERIFICACION")),"PENDIENTE_VERIFICACION")</f>
        <v/>
      </c>
      <c r="P65" s="7">
        <f>IF(O65="DISPONIBLE","SÍ","NO")</f>
        <v/>
      </c>
      <c r="Q65" s="7">
        <f>IF(COUNTIFS(Intercambios!$D$4:$D$103,A65,Intercambios!$G$4:$G$103,"REGISTRADO",Intercambios!$J$4:$J$103,"VÁLIDO")+COUNTIFS(Intercambios!$E$4:$E$103,A65,Intercambios!$G$4:$G$103,"REGISTRADO",Intercambios!$J$4:$J$103,"VÁLIDO")&gt;0,"INTERCAMBIADO",O65)</f>
        <v/>
      </c>
      <c r="R65" s="7">
        <f>IFERROR(VLOOKUP($A65,Recepcion!$A$2:$I$85,7,FALSE),"")</f>
        <v/>
      </c>
      <c r="S65" s="7">
        <f>IFERROR(VLOOKUP($A65,Recepcion!$A$2:$I$85,8,FALSE),"")</f>
        <v/>
      </c>
      <c r="T65" s="7">
        <f>IFERROR(VLOOKUP($A65,Recepcion!$A$2:$I$85,9,FALSE),"")</f>
        <v/>
      </c>
    </row>
    <row r="66">
      <c r="A66" s="7" t="inlineStr">
        <is>
          <t>CH-012</t>
        </is>
      </c>
      <c r="B66" s="7" t="inlineStr">
        <is>
          <t>BIB-057</t>
        </is>
      </c>
      <c r="C66" s="7" t="inlineStr">
        <is>
          <t>Los vecinos mueren en las Novelas</t>
        </is>
      </c>
      <c r="D66" s="7" t="inlineStr">
        <is>
          <t>Aguirre Sergio</t>
        </is>
      </c>
      <c r="E66" s="7" t="inlineStr">
        <is>
          <t>Norma</t>
        </is>
      </c>
      <c r="F66" s="7" t="inlineStr">
        <is>
          <t>9789879334966</t>
        </is>
      </c>
      <c r="G66" s="7" t="inlineStr">
        <is>
          <t>CH-012</t>
        </is>
      </c>
      <c r="H66" s="7" t="inlineStr">
        <is>
          <t>ITEM 12</t>
        </is>
      </c>
      <c r="I66" s="7" t="inlineStr">
        <is>
          <t>Libros para el Trueque Literario CH.xlsx</t>
        </is>
      </c>
      <c r="J66" s="7" t="n">
        <v>13</v>
      </c>
      <c r="K66" s="7" t="inlineStr">
        <is>
          <t>12</t>
        </is>
      </c>
      <c r="L66" s="7" t="inlineStr"/>
      <c r="M66" s="7" t="inlineStr"/>
      <c r="N66" s="7" t="inlineStr"/>
      <c r="O66" s="7">
        <f>IFERROR(IF(VLOOKUP($A66,Recepcion!$A$2:$I$85,4,FALSE)="SÍ",IF(VLOOKUP($A66,Recepcion!$A$2:$I$85,5,FALSE)="ACEPTADO","DISPONIBLE",IF(VLOOKUP($A66,Recepcion!$A$2:$I$85,5,FALSE)="RECHAZADO","RECHAZADO","PENDIENTE_VERIFICACION")),IF(VLOOKUP($A66,Recepcion!$A$2:$I$85,4,FALSE)="NO","NO_PRESENTE","PENDIENTE_VERIFICACION")),"PENDIENTE_VERIFICACION")</f>
        <v/>
      </c>
      <c r="P66" s="7">
        <f>IF(O66="DISPONIBLE","SÍ","NO")</f>
        <v/>
      </c>
      <c r="Q66" s="7">
        <f>IF(COUNTIFS(Intercambios!$D$4:$D$103,A66,Intercambios!$G$4:$G$103,"REGISTRADO",Intercambios!$J$4:$J$103,"VÁLIDO")+COUNTIFS(Intercambios!$E$4:$E$103,A66,Intercambios!$G$4:$G$103,"REGISTRADO",Intercambios!$J$4:$J$103,"VÁLIDO")&gt;0,"INTERCAMBIADO",O66)</f>
        <v/>
      </c>
      <c r="R66" s="7">
        <f>IFERROR(VLOOKUP($A66,Recepcion!$A$2:$I$85,7,FALSE),"")</f>
        <v/>
      </c>
      <c r="S66" s="7">
        <f>IFERROR(VLOOKUP($A66,Recepcion!$A$2:$I$85,8,FALSE),"")</f>
        <v/>
      </c>
      <c r="T66" s="7">
        <f>IFERROR(VLOOKUP($A66,Recepcion!$A$2:$I$85,9,FALSE),"")</f>
        <v/>
      </c>
    </row>
    <row r="67">
      <c r="A67" s="7" t="inlineStr">
        <is>
          <t>INV-003</t>
        </is>
      </c>
      <c r="B67" s="7" t="inlineStr">
        <is>
          <t>BIB-058</t>
        </is>
      </c>
      <c r="C67" s="7" t="inlineStr">
        <is>
          <t>Magdalena</t>
        </is>
      </c>
      <c r="D67" s="7" t="inlineStr">
        <is>
          <t>Wade Davis</t>
        </is>
      </c>
      <c r="E67" s="7" t="inlineStr">
        <is>
          <t>Vintage Book</t>
        </is>
      </c>
      <c r="F67" s="7" t="inlineStr"/>
      <c r="G67" s="7" t="inlineStr">
        <is>
          <t>INV-003</t>
        </is>
      </c>
      <c r="H67" s="7" t="inlineStr">
        <is>
          <t>EJEMPLAR 1</t>
        </is>
      </c>
      <c r="I67" s="7" t="inlineStr">
        <is>
          <t>INVENTARIO TRUEQUE.xlsx</t>
        </is>
      </c>
      <c r="J67" s="7" t="n">
        <v>5</v>
      </c>
      <c r="K67" s="7" t="inlineStr">
        <is>
          <t>3</t>
        </is>
      </c>
      <c r="L67" s="7" t="inlineStr">
        <is>
          <t>1</t>
        </is>
      </c>
      <c r="M67" s="7" t="inlineStr"/>
      <c r="N67" s="7" t="inlineStr"/>
      <c r="O67" s="7">
        <f>IFERROR(IF(VLOOKUP($A67,Recepcion!$A$2:$I$85,4,FALSE)="SÍ",IF(VLOOKUP($A67,Recepcion!$A$2:$I$85,5,FALSE)="ACEPTADO","DISPONIBLE",IF(VLOOKUP($A67,Recepcion!$A$2:$I$85,5,FALSE)="RECHAZADO","RECHAZADO","PENDIENTE_VERIFICACION")),IF(VLOOKUP($A67,Recepcion!$A$2:$I$85,4,FALSE)="NO","NO_PRESENTE","PENDIENTE_VERIFICACION")),"PENDIENTE_VERIFICACION")</f>
        <v/>
      </c>
      <c r="P67" s="7">
        <f>IF(O67="DISPONIBLE","SÍ","NO")</f>
        <v/>
      </c>
      <c r="Q67" s="7">
        <f>IF(COUNTIFS(Intercambios!$D$4:$D$103,A67,Intercambios!$G$4:$G$103,"REGISTRADO",Intercambios!$J$4:$J$103,"VÁLIDO")+COUNTIFS(Intercambios!$E$4:$E$103,A67,Intercambios!$G$4:$G$103,"REGISTRADO",Intercambios!$J$4:$J$103,"VÁLIDO")&gt;0,"INTERCAMBIADO",O67)</f>
        <v/>
      </c>
      <c r="R67" s="7">
        <f>IFERROR(VLOOKUP($A67,Recepcion!$A$2:$I$85,7,FALSE),"")</f>
        <v/>
      </c>
      <c r="S67" s="7">
        <f>IFERROR(VLOOKUP($A67,Recepcion!$A$2:$I$85,8,FALSE),"")</f>
        <v/>
      </c>
      <c r="T67" s="7">
        <f>IFERROR(VLOOKUP($A67,Recepcion!$A$2:$I$85,9,FALSE),"")</f>
        <v/>
      </c>
    </row>
    <row r="68">
      <c r="A68" s="7" t="inlineStr">
        <is>
          <t>CH-006</t>
        </is>
      </c>
      <c r="B68" s="7" t="inlineStr">
        <is>
          <t>BIB-059</t>
        </is>
      </c>
      <c r="C68" s="7" t="inlineStr">
        <is>
          <t>Memorias de un acoso gris</t>
        </is>
      </c>
      <c r="D68" s="7" t="inlineStr">
        <is>
          <t>Prieto Urina Carlos Daniel</t>
        </is>
      </c>
      <c r="E68" s="7" t="inlineStr">
        <is>
          <t>San Barbara</t>
        </is>
      </c>
      <c r="F68" s="7" t="inlineStr">
        <is>
          <t>9789585856059</t>
        </is>
      </c>
      <c r="G68" s="7" t="inlineStr">
        <is>
          <t>CH-006</t>
        </is>
      </c>
      <c r="H68" s="7" t="inlineStr">
        <is>
          <t>ITEM 6</t>
        </is>
      </c>
      <c r="I68" s="7" t="inlineStr">
        <is>
          <t>Libros para el Trueque Literario CH.xlsx</t>
        </is>
      </c>
      <c r="J68" s="7" t="n">
        <v>7</v>
      </c>
      <c r="K68" s="7" t="inlineStr">
        <is>
          <t>6</t>
        </is>
      </c>
      <c r="L68" s="7" t="inlineStr"/>
      <c r="M68" s="7" t="inlineStr">
        <is>
          <t>Posible duplicado de: INV-066 (INVENTARIO)</t>
        </is>
      </c>
      <c r="N68" s="7" t="inlineStr">
        <is>
          <t>POSIBLE_DUPLICADO_ENTRE_FUENTES</t>
        </is>
      </c>
      <c r="O68" s="7">
        <f>IFERROR(IF(VLOOKUP($A68,Recepcion!$A$2:$I$85,4,FALSE)="SÍ",IF(VLOOKUP($A68,Recepcion!$A$2:$I$85,5,FALSE)="ACEPTADO","DISPONIBLE",IF(VLOOKUP($A68,Recepcion!$A$2:$I$85,5,FALSE)="RECHAZADO","RECHAZADO","PENDIENTE_VERIFICACION")),IF(VLOOKUP($A68,Recepcion!$A$2:$I$85,4,FALSE)="NO","NO_PRESENTE","PENDIENTE_VERIFICACION")),"PENDIENTE_VERIFICACION")</f>
        <v/>
      </c>
      <c r="P68" s="7">
        <f>IF(O68="DISPONIBLE","SÍ","NO")</f>
        <v/>
      </c>
      <c r="Q68" s="7">
        <f>IF(COUNTIFS(Intercambios!$D$4:$D$103,A68,Intercambios!$G$4:$G$103,"REGISTRADO",Intercambios!$J$4:$J$103,"VÁLIDO")+COUNTIFS(Intercambios!$E$4:$E$103,A68,Intercambios!$G$4:$G$103,"REGISTRADO",Intercambios!$J$4:$J$103,"VÁLIDO")&gt;0,"INTERCAMBIADO",O68)</f>
        <v/>
      </c>
      <c r="R68" s="7">
        <f>IFERROR(VLOOKUP($A68,Recepcion!$A$2:$I$85,7,FALSE),"")</f>
        <v/>
      </c>
      <c r="S68" s="7">
        <f>IFERROR(VLOOKUP($A68,Recepcion!$A$2:$I$85,8,FALSE),"")</f>
        <v/>
      </c>
      <c r="T68" s="7">
        <f>IFERROR(VLOOKUP($A68,Recepcion!$A$2:$I$85,9,FALSE),"")</f>
        <v/>
      </c>
    </row>
    <row r="69">
      <c r="A69" s="7" t="inlineStr">
        <is>
          <t>INV-066</t>
        </is>
      </c>
      <c r="B69" s="7" t="inlineStr">
        <is>
          <t>BIB-059</t>
        </is>
      </c>
      <c r="C69" s="7" t="inlineStr">
        <is>
          <t>Memorias de un acoso gris</t>
        </is>
      </c>
      <c r="D69" s="7" t="inlineStr">
        <is>
          <t>Carlos Daniel Prieto Urina</t>
        </is>
      </c>
      <c r="E69" s="7" t="inlineStr">
        <is>
          <t>San Barbara</t>
        </is>
      </c>
      <c r="F69" s="7" t="inlineStr"/>
      <c r="G69" s="7" t="inlineStr">
        <is>
          <t>INV-066</t>
        </is>
      </c>
      <c r="H69" s="7" t="inlineStr">
        <is>
          <t>EJEMPLAR 1</t>
        </is>
      </c>
      <c r="I69" s="7" t="inlineStr">
        <is>
          <t>INVENTARIO TRUEQUE.xlsx</t>
        </is>
      </c>
      <c r="J69" s="7" t="n">
        <v>68</v>
      </c>
      <c r="K69" s="7" t="inlineStr">
        <is>
          <t>66</t>
        </is>
      </c>
      <c r="L69" s="7" t="inlineStr">
        <is>
          <t>1</t>
        </is>
      </c>
      <c r="M69" s="7" t="inlineStr">
        <is>
          <t>Posible duplicado de: CH-006 (CH)</t>
        </is>
      </c>
      <c r="N69" s="7" t="inlineStr">
        <is>
          <t>POSIBLE_DUPLICADO_ENTRE_FUENTES</t>
        </is>
      </c>
      <c r="O69" s="7">
        <f>IFERROR(IF(VLOOKUP($A69,Recepcion!$A$2:$I$85,4,FALSE)="SÍ",IF(VLOOKUP($A69,Recepcion!$A$2:$I$85,5,FALSE)="ACEPTADO","DISPONIBLE",IF(VLOOKUP($A69,Recepcion!$A$2:$I$85,5,FALSE)="RECHAZADO","RECHAZADO","PENDIENTE_VERIFICACION")),IF(VLOOKUP($A69,Recepcion!$A$2:$I$85,4,FALSE)="NO","NO_PRESENTE","PENDIENTE_VERIFICACION")),"PENDIENTE_VERIFICACION")</f>
        <v/>
      </c>
      <c r="P69" s="7">
        <f>IF(O69="DISPONIBLE","SÍ","NO")</f>
        <v/>
      </c>
      <c r="Q69" s="7">
        <f>IF(COUNTIFS(Intercambios!$D$4:$D$103,A69,Intercambios!$G$4:$G$103,"REGISTRADO",Intercambios!$J$4:$J$103,"VÁLIDO")+COUNTIFS(Intercambios!$E$4:$E$103,A69,Intercambios!$G$4:$G$103,"REGISTRADO",Intercambios!$J$4:$J$103,"VÁLIDO")&gt;0,"INTERCAMBIADO",O69)</f>
        <v/>
      </c>
      <c r="R69" s="7">
        <f>IFERROR(VLOOKUP($A69,Recepcion!$A$2:$I$85,7,FALSE),"")</f>
        <v/>
      </c>
      <c r="S69" s="7">
        <f>IFERROR(VLOOKUP($A69,Recepcion!$A$2:$I$85,8,FALSE),"")</f>
        <v/>
      </c>
      <c r="T69" s="7">
        <f>IFERROR(VLOOKUP($A69,Recepcion!$A$2:$I$85,9,FALSE),"")</f>
        <v/>
      </c>
    </row>
    <row r="70">
      <c r="A70" s="7" t="inlineStr">
        <is>
          <t>INV-032</t>
        </is>
      </c>
      <c r="B70" s="7" t="inlineStr">
        <is>
          <t>BIB-060</t>
        </is>
      </c>
      <c r="C70" s="7" t="inlineStr">
        <is>
          <t>Mujeres que Aman Demasiado</t>
        </is>
      </c>
      <c r="D70" s="7" t="inlineStr">
        <is>
          <t>Robin Norwood</t>
        </is>
      </c>
      <c r="E70" s="7" t="inlineStr">
        <is>
          <t>Byblos</t>
        </is>
      </c>
      <c r="F70" s="7" t="inlineStr"/>
      <c r="G70" s="7" t="inlineStr">
        <is>
          <t>INV-032</t>
        </is>
      </c>
      <c r="H70" s="7" t="inlineStr">
        <is>
          <t>EJEMPLAR 1</t>
        </is>
      </c>
      <c r="I70" s="7" t="inlineStr">
        <is>
          <t>INVENTARIO TRUEQUE.xlsx</t>
        </is>
      </c>
      <c r="J70" s="7" t="n">
        <v>34</v>
      </c>
      <c r="K70" s="7" t="inlineStr">
        <is>
          <t>32</t>
        </is>
      </c>
      <c r="L70" s="7" t="inlineStr">
        <is>
          <t>1</t>
        </is>
      </c>
      <c r="M70" s="7" t="inlineStr"/>
      <c r="N70" s="7" t="inlineStr"/>
      <c r="O70" s="7">
        <f>IFERROR(IF(VLOOKUP($A70,Recepcion!$A$2:$I$85,4,FALSE)="SÍ",IF(VLOOKUP($A70,Recepcion!$A$2:$I$85,5,FALSE)="ACEPTADO","DISPONIBLE",IF(VLOOKUP($A70,Recepcion!$A$2:$I$85,5,FALSE)="RECHAZADO","RECHAZADO","PENDIENTE_VERIFICACION")),IF(VLOOKUP($A70,Recepcion!$A$2:$I$85,4,FALSE)="NO","NO_PRESENTE","PENDIENTE_VERIFICACION")),"PENDIENTE_VERIFICACION")</f>
        <v/>
      </c>
      <c r="P70" s="7">
        <f>IF(O70="DISPONIBLE","SÍ","NO")</f>
        <v/>
      </c>
      <c r="Q70" s="7">
        <f>IF(COUNTIFS(Intercambios!$D$4:$D$103,A70,Intercambios!$G$4:$G$103,"REGISTRADO",Intercambios!$J$4:$J$103,"VÁLIDO")+COUNTIFS(Intercambios!$E$4:$E$103,A70,Intercambios!$G$4:$G$103,"REGISTRADO",Intercambios!$J$4:$J$103,"VÁLIDO")&gt;0,"INTERCAMBIADO",O70)</f>
        <v/>
      </c>
      <c r="R70" s="7">
        <f>IFERROR(VLOOKUP($A70,Recepcion!$A$2:$I$85,7,FALSE),"")</f>
        <v/>
      </c>
      <c r="S70" s="7">
        <f>IFERROR(VLOOKUP($A70,Recepcion!$A$2:$I$85,8,FALSE),"")</f>
        <v/>
      </c>
      <c r="T70" s="7">
        <f>IFERROR(VLOOKUP($A70,Recepcion!$A$2:$I$85,9,FALSE),"")</f>
        <v/>
      </c>
    </row>
    <row r="71">
      <c r="A71" s="7" t="inlineStr">
        <is>
          <t>INV-041</t>
        </is>
      </c>
      <c r="B71" s="7" t="inlineStr">
        <is>
          <t>BIB-061</t>
        </is>
      </c>
      <c r="C71" s="7" t="inlineStr">
        <is>
          <t>Nacho Chichones</t>
        </is>
      </c>
      <c r="D71" s="7" t="inlineStr">
        <is>
          <t>Gonzalo Maure Trenor</t>
        </is>
      </c>
      <c r="E71" s="7" t="inlineStr">
        <is>
          <t>SM</t>
        </is>
      </c>
      <c r="F71" s="7" t="inlineStr"/>
      <c r="G71" s="7" t="inlineStr">
        <is>
          <t>INV-041</t>
        </is>
      </c>
      <c r="H71" s="7" t="inlineStr">
        <is>
          <t>EJEMPLAR 1</t>
        </is>
      </c>
      <c r="I71" s="7" t="inlineStr">
        <is>
          <t>INVENTARIO TRUEQUE.xlsx</t>
        </is>
      </c>
      <c r="J71" s="7" t="n">
        <v>43</v>
      </c>
      <c r="K71" s="7" t="inlineStr">
        <is>
          <t>41</t>
        </is>
      </c>
      <c r="L71" s="7" t="inlineStr">
        <is>
          <t>1</t>
        </is>
      </c>
      <c r="M71" s="7" t="inlineStr"/>
      <c r="N71" s="7" t="inlineStr"/>
      <c r="O71" s="7">
        <f>IFERROR(IF(VLOOKUP($A71,Recepcion!$A$2:$I$85,4,FALSE)="SÍ",IF(VLOOKUP($A71,Recepcion!$A$2:$I$85,5,FALSE)="ACEPTADO","DISPONIBLE",IF(VLOOKUP($A71,Recepcion!$A$2:$I$85,5,FALSE)="RECHAZADO","RECHAZADO","PENDIENTE_VERIFICACION")),IF(VLOOKUP($A71,Recepcion!$A$2:$I$85,4,FALSE)="NO","NO_PRESENTE","PENDIENTE_VERIFICACION")),"PENDIENTE_VERIFICACION")</f>
        <v/>
      </c>
      <c r="P71" s="7">
        <f>IF(O71="DISPONIBLE","SÍ","NO")</f>
        <v/>
      </c>
      <c r="Q71" s="7">
        <f>IF(COUNTIFS(Intercambios!$D$4:$D$103,A71,Intercambios!$G$4:$G$103,"REGISTRADO",Intercambios!$J$4:$J$103,"VÁLIDO")+COUNTIFS(Intercambios!$E$4:$E$103,A71,Intercambios!$G$4:$G$103,"REGISTRADO",Intercambios!$J$4:$J$103,"VÁLIDO")&gt;0,"INTERCAMBIADO",O71)</f>
        <v/>
      </c>
      <c r="R71" s="7">
        <f>IFERROR(VLOOKUP($A71,Recepcion!$A$2:$I$85,7,FALSE),"")</f>
        <v/>
      </c>
      <c r="S71" s="7">
        <f>IFERROR(VLOOKUP($A71,Recepcion!$A$2:$I$85,8,FALSE),"")</f>
        <v/>
      </c>
      <c r="T71" s="7">
        <f>IFERROR(VLOOKUP($A71,Recepcion!$A$2:$I$85,9,FALSE),"")</f>
        <v/>
      </c>
    </row>
    <row r="72">
      <c r="A72" s="7" t="inlineStr">
        <is>
          <t>INV-037</t>
        </is>
      </c>
      <c r="B72" s="7" t="inlineStr">
        <is>
          <t>BIB-062</t>
        </is>
      </c>
      <c r="C72" s="7" t="inlineStr">
        <is>
          <t>Noches Blancas</t>
        </is>
      </c>
      <c r="D72" s="7" t="inlineStr">
        <is>
          <t>Fiodor Dostoyevski</t>
        </is>
      </c>
      <c r="E72" s="7" t="inlineStr">
        <is>
          <t>Skla</t>
        </is>
      </c>
      <c r="F72" s="7" t="inlineStr"/>
      <c r="G72" s="7" t="inlineStr">
        <is>
          <t>INV-037</t>
        </is>
      </c>
      <c r="H72" s="7" t="inlineStr">
        <is>
          <t>EJEMPLAR 1</t>
        </is>
      </c>
      <c r="I72" s="7" t="inlineStr">
        <is>
          <t>INVENTARIO TRUEQUE.xlsx</t>
        </is>
      </c>
      <c r="J72" s="7" t="n">
        <v>39</v>
      </c>
      <c r="K72" s="7" t="inlineStr">
        <is>
          <t>37</t>
        </is>
      </c>
      <c r="L72" s="7" t="inlineStr">
        <is>
          <t>1</t>
        </is>
      </c>
      <c r="M72" s="7" t="inlineStr"/>
      <c r="N72" s="7" t="inlineStr"/>
      <c r="O72" s="7">
        <f>IFERROR(IF(VLOOKUP($A72,Recepcion!$A$2:$I$85,4,FALSE)="SÍ",IF(VLOOKUP($A72,Recepcion!$A$2:$I$85,5,FALSE)="ACEPTADO","DISPONIBLE",IF(VLOOKUP($A72,Recepcion!$A$2:$I$85,5,FALSE)="RECHAZADO","RECHAZADO","PENDIENTE_VERIFICACION")),IF(VLOOKUP($A72,Recepcion!$A$2:$I$85,4,FALSE)="NO","NO_PRESENTE","PENDIENTE_VERIFICACION")),"PENDIENTE_VERIFICACION")</f>
        <v/>
      </c>
      <c r="P72" s="7">
        <f>IF(O72="DISPONIBLE","SÍ","NO")</f>
        <v/>
      </c>
      <c r="Q72" s="7">
        <f>IF(COUNTIFS(Intercambios!$D$4:$D$103,A72,Intercambios!$G$4:$G$103,"REGISTRADO",Intercambios!$J$4:$J$103,"VÁLIDO")+COUNTIFS(Intercambios!$E$4:$E$103,A72,Intercambios!$G$4:$G$103,"REGISTRADO",Intercambios!$J$4:$J$103,"VÁLIDO")&gt;0,"INTERCAMBIADO",O72)</f>
        <v/>
      </c>
      <c r="R72" s="7">
        <f>IFERROR(VLOOKUP($A72,Recepcion!$A$2:$I$85,7,FALSE),"")</f>
        <v/>
      </c>
      <c r="S72" s="7">
        <f>IFERROR(VLOOKUP($A72,Recepcion!$A$2:$I$85,8,FALSE),"")</f>
        <v/>
      </c>
      <c r="T72" s="7">
        <f>IFERROR(VLOOKUP($A72,Recepcion!$A$2:$I$85,9,FALSE),"")</f>
        <v/>
      </c>
    </row>
    <row r="73">
      <c r="A73" s="7" t="inlineStr">
        <is>
          <t>INV-051</t>
        </is>
      </c>
      <c r="B73" s="7" t="inlineStr">
        <is>
          <t>BIB-063</t>
        </is>
      </c>
      <c r="C73" s="7" t="inlineStr">
        <is>
          <t>Obra Poetica</t>
        </is>
      </c>
      <c r="D73" s="7" t="inlineStr">
        <is>
          <t>Largion Barros de la Hoz</t>
        </is>
      </c>
      <c r="E73" s="7" t="inlineStr">
        <is>
          <t>N/E</t>
        </is>
      </c>
      <c r="F73" s="7" t="inlineStr"/>
      <c r="G73" s="7" t="inlineStr">
        <is>
          <t>INV-051</t>
        </is>
      </c>
      <c r="H73" s="7" t="inlineStr">
        <is>
          <t>EJEMPLAR 1</t>
        </is>
      </c>
      <c r="I73" s="7" t="inlineStr">
        <is>
          <t>INVENTARIO TRUEQUE.xlsx</t>
        </is>
      </c>
      <c r="J73" s="7" t="n">
        <v>53</v>
      </c>
      <c r="K73" s="7" t="inlineStr">
        <is>
          <t>51</t>
        </is>
      </c>
      <c r="L73" s="7" t="inlineStr">
        <is>
          <t>1</t>
        </is>
      </c>
      <c r="M73" s="7" t="inlineStr"/>
      <c r="N73" s="7" t="inlineStr"/>
      <c r="O73" s="7">
        <f>IFERROR(IF(VLOOKUP($A73,Recepcion!$A$2:$I$85,4,FALSE)="SÍ",IF(VLOOKUP($A73,Recepcion!$A$2:$I$85,5,FALSE)="ACEPTADO","DISPONIBLE",IF(VLOOKUP($A73,Recepcion!$A$2:$I$85,5,FALSE)="RECHAZADO","RECHAZADO","PENDIENTE_VERIFICACION")),IF(VLOOKUP($A73,Recepcion!$A$2:$I$85,4,FALSE)="NO","NO_PRESENTE","PENDIENTE_VERIFICACION")),"PENDIENTE_VERIFICACION")</f>
        <v/>
      </c>
      <c r="P73" s="7">
        <f>IF(O73="DISPONIBLE","SÍ","NO")</f>
        <v/>
      </c>
      <c r="Q73" s="7">
        <f>IF(COUNTIFS(Intercambios!$D$4:$D$103,A73,Intercambios!$G$4:$G$103,"REGISTRADO",Intercambios!$J$4:$J$103,"VÁLIDO")+COUNTIFS(Intercambios!$E$4:$E$103,A73,Intercambios!$G$4:$G$103,"REGISTRADO",Intercambios!$J$4:$J$103,"VÁLIDO")&gt;0,"INTERCAMBIADO",O73)</f>
        <v/>
      </c>
      <c r="R73" s="7">
        <f>IFERROR(VLOOKUP($A73,Recepcion!$A$2:$I$85,7,FALSE),"")</f>
        <v/>
      </c>
      <c r="S73" s="7">
        <f>IFERROR(VLOOKUP($A73,Recepcion!$A$2:$I$85,8,FALSE),"")</f>
        <v/>
      </c>
      <c r="T73" s="7">
        <f>IFERROR(VLOOKUP($A73,Recepcion!$A$2:$I$85,9,FALSE),"")</f>
        <v/>
      </c>
    </row>
    <row r="74">
      <c r="A74" s="7" t="inlineStr">
        <is>
          <t>INV-055</t>
        </is>
      </c>
      <c r="B74" s="7" t="inlineStr">
        <is>
          <t>BIB-064</t>
        </is>
      </c>
      <c r="C74" s="7" t="inlineStr">
        <is>
          <t>PinceladasCuentisticas</t>
        </is>
      </c>
      <c r="D74" s="7" t="inlineStr">
        <is>
          <t>Alvaro Miranda Villalobos</t>
        </is>
      </c>
      <c r="E74" s="7" t="inlineStr">
        <is>
          <t>N/E</t>
        </is>
      </c>
      <c r="F74" s="7" t="inlineStr"/>
      <c r="G74" s="7" t="inlineStr">
        <is>
          <t>INV-055</t>
        </is>
      </c>
      <c r="H74" s="7" t="inlineStr">
        <is>
          <t>EJEMPLAR 1</t>
        </is>
      </c>
      <c r="I74" s="7" t="inlineStr">
        <is>
          <t>INVENTARIO TRUEQUE.xlsx</t>
        </is>
      </c>
      <c r="J74" s="7" t="n">
        <v>57</v>
      </c>
      <c r="K74" s="7" t="inlineStr">
        <is>
          <t>55</t>
        </is>
      </c>
      <c r="L74" s="7" t="inlineStr">
        <is>
          <t>1</t>
        </is>
      </c>
      <c r="M74" s="7" t="inlineStr"/>
      <c r="N74" s="7" t="inlineStr"/>
      <c r="O74" s="7">
        <f>IFERROR(IF(VLOOKUP($A74,Recepcion!$A$2:$I$85,4,FALSE)="SÍ",IF(VLOOKUP($A74,Recepcion!$A$2:$I$85,5,FALSE)="ACEPTADO","DISPONIBLE",IF(VLOOKUP($A74,Recepcion!$A$2:$I$85,5,FALSE)="RECHAZADO","RECHAZADO","PENDIENTE_VERIFICACION")),IF(VLOOKUP($A74,Recepcion!$A$2:$I$85,4,FALSE)="NO","NO_PRESENTE","PENDIENTE_VERIFICACION")),"PENDIENTE_VERIFICACION")</f>
        <v/>
      </c>
      <c r="P74" s="7">
        <f>IF(O74="DISPONIBLE","SÍ","NO")</f>
        <v/>
      </c>
      <c r="Q74" s="7">
        <f>IF(COUNTIFS(Intercambios!$D$4:$D$103,A74,Intercambios!$G$4:$G$103,"REGISTRADO",Intercambios!$J$4:$J$103,"VÁLIDO")+COUNTIFS(Intercambios!$E$4:$E$103,A74,Intercambios!$G$4:$G$103,"REGISTRADO",Intercambios!$J$4:$J$103,"VÁLIDO")&gt;0,"INTERCAMBIADO",O74)</f>
        <v/>
      </c>
      <c r="R74" s="7">
        <f>IFERROR(VLOOKUP($A74,Recepcion!$A$2:$I$85,7,FALSE),"")</f>
        <v/>
      </c>
      <c r="S74" s="7">
        <f>IFERROR(VLOOKUP($A74,Recepcion!$A$2:$I$85,8,FALSE),"")</f>
        <v/>
      </c>
      <c r="T74" s="7">
        <f>IFERROR(VLOOKUP($A74,Recepcion!$A$2:$I$85,9,FALSE),"")</f>
        <v/>
      </c>
    </row>
    <row r="75">
      <c r="A75" s="7" t="inlineStr">
        <is>
          <t>INV-015</t>
        </is>
      </c>
      <c r="B75" s="7" t="inlineStr">
        <is>
          <t>BIB-065</t>
        </is>
      </c>
      <c r="C75" s="7" t="inlineStr">
        <is>
          <t>Poema de Alio Cio</t>
        </is>
      </c>
      <c r="D75" s="7" t="inlineStr">
        <is>
          <t>Anonimo</t>
        </is>
      </c>
      <c r="E75" s="7" t="inlineStr">
        <is>
          <t>Atenea</t>
        </is>
      </c>
      <c r="F75" s="7" t="inlineStr"/>
      <c r="G75" s="7" t="inlineStr">
        <is>
          <t>INV-015</t>
        </is>
      </c>
      <c r="H75" s="7" t="inlineStr">
        <is>
          <t>EJEMPLAR 1</t>
        </is>
      </c>
      <c r="I75" s="7" t="inlineStr">
        <is>
          <t>INVENTARIO TRUEQUE.xlsx</t>
        </is>
      </c>
      <c r="J75" s="7" t="n">
        <v>17</v>
      </c>
      <c r="K75" s="7" t="inlineStr">
        <is>
          <t>15</t>
        </is>
      </c>
      <c r="L75" s="7" t="inlineStr">
        <is>
          <t>1</t>
        </is>
      </c>
      <c r="M75" s="7" t="inlineStr"/>
      <c r="N75" s="7" t="inlineStr"/>
      <c r="O75" s="7">
        <f>IFERROR(IF(VLOOKUP($A75,Recepcion!$A$2:$I$85,4,FALSE)="SÍ",IF(VLOOKUP($A75,Recepcion!$A$2:$I$85,5,FALSE)="ACEPTADO","DISPONIBLE",IF(VLOOKUP($A75,Recepcion!$A$2:$I$85,5,FALSE)="RECHAZADO","RECHAZADO","PENDIENTE_VERIFICACION")),IF(VLOOKUP($A75,Recepcion!$A$2:$I$85,4,FALSE)="NO","NO_PRESENTE","PENDIENTE_VERIFICACION")),"PENDIENTE_VERIFICACION")</f>
        <v/>
      </c>
      <c r="P75" s="7">
        <f>IF(O75="DISPONIBLE","SÍ","NO")</f>
        <v/>
      </c>
      <c r="Q75" s="7">
        <f>IF(COUNTIFS(Intercambios!$D$4:$D$103,A75,Intercambios!$G$4:$G$103,"REGISTRADO",Intercambios!$J$4:$J$103,"VÁLIDO")+COUNTIFS(Intercambios!$E$4:$E$103,A75,Intercambios!$G$4:$G$103,"REGISTRADO",Intercambios!$J$4:$J$103,"VÁLIDO")&gt;0,"INTERCAMBIADO",O75)</f>
        <v/>
      </c>
      <c r="R75" s="7">
        <f>IFERROR(VLOOKUP($A75,Recepcion!$A$2:$I$85,7,FALSE),"")</f>
        <v/>
      </c>
      <c r="S75" s="7">
        <f>IFERROR(VLOOKUP($A75,Recepcion!$A$2:$I$85,8,FALSE),"")</f>
        <v/>
      </c>
      <c r="T75" s="7">
        <f>IFERROR(VLOOKUP($A75,Recepcion!$A$2:$I$85,9,FALSE),"")</f>
        <v/>
      </c>
    </row>
    <row r="76">
      <c r="A76" s="7" t="inlineStr">
        <is>
          <t>CH-015</t>
        </is>
      </c>
      <c r="B76" s="7" t="inlineStr">
        <is>
          <t>BIB-066</t>
        </is>
      </c>
      <c r="C76" s="7" t="inlineStr">
        <is>
          <t>Por Amor</t>
        </is>
      </c>
      <c r="D76" s="7" t="inlineStr">
        <is>
          <t>Mc Combie Karen</t>
        </is>
      </c>
      <c r="E76" s="7" t="inlineStr">
        <is>
          <t>Norma</t>
        </is>
      </c>
      <c r="F76" s="7" t="inlineStr">
        <is>
          <t>9789580473473</t>
        </is>
      </c>
      <c r="G76" s="7" t="inlineStr">
        <is>
          <t>CH-015</t>
        </is>
      </c>
      <c r="H76" s="7" t="inlineStr">
        <is>
          <t>ITEM 15</t>
        </is>
      </c>
      <c r="I76" s="7" t="inlineStr">
        <is>
          <t>Libros para el Trueque Literario CH.xlsx</t>
        </is>
      </c>
      <c r="J76" s="7" t="n">
        <v>16</v>
      </c>
      <c r="K76" s="7" t="inlineStr">
        <is>
          <t>15</t>
        </is>
      </c>
      <c r="L76" s="7" t="inlineStr"/>
      <c r="M76" s="7" t="inlineStr"/>
      <c r="N76" s="7" t="inlineStr"/>
      <c r="O76" s="7">
        <f>IFERROR(IF(VLOOKUP($A76,Recepcion!$A$2:$I$85,4,FALSE)="SÍ",IF(VLOOKUP($A76,Recepcion!$A$2:$I$85,5,FALSE)="ACEPTADO","DISPONIBLE",IF(VLOOKUP($A76,Recepcion!$A$2:$I$85,5,FALSE)="RECHAZADO","RECHAZADO","PENDIENTE_VERIFICACION")),IF(VLOOKUP($A76,Recepcion!$A$2:$I$85,4,FALSE)="NO","NO_PRESENTE","PENDIENTE_VERIFICACION")),"PENDIENTE_VERIFICACION")</f>
        <v/>
      </c>
      <c r="P76" s="7">
        <f>IF(O76="DISPONIBLE","SÍ","NO")</f>
        <v/>
      </c>
      <c r="Q76" s="7">
        <f>IF(COUNTIFS(Intercambios!$D$4:$D$103,A76,Intercambios!$G$4:$G$103,"REGISTRADO",Intercambios!$J$4:$J$103,"VÁLIDO")+COUNTIFS(Intercambios!$E$4:$E$103,A76,Intercambios!$G$4:$G$103,"REGISTRADO",Intercambios!$J$4:$J$103,"VÁLIDO")&gt;0,"INTERCAMBIADO",O76)</f>
        <v/>
      </c>
      <c r="R76" s="7">
        <f>IFERROR(VLOOKUP($A76,Recepcion!$A$2:$I$85,7,FALSE),"")</f>
        <v/>
      </c>
      <c r="S76" s="7">
        <f>IFERROR(VLOOKUP($A76,Recepcion!$A$2:$I$85,8,FALSE),"")</f>
        <v/>
      </c>
      <c r="T76" s="7">
        <f>IFERROR(VLOOKUP($A76,Recepcion!$A$2:$I$85,9,FALSE),"")</f>
        <v/>
      </c>
    </row>
    <row r="77">
      <c r="A77" s="7" t="inlineStr">
        <is>
          <t>INV-017</t>
        </is>
      </c>
      <c r="B77" s="7" t="inlineStr">
        <is>
          <t>BIB-067</t>
        </is>
      </c>
      <c r="C77" s="7" t="inlineStr">
        <is>
          <t>Por Culpa de una S</t>
        </is>
      </c>
      <c r="D77" s="7" t="inlineStr">
        <is>
          <t>Cristina Rebull</t>
        </is>
      </c>
      <c r="E77" s="7" t="inlineStr">
        <is>
          <t>Norma</t>
        </is>
      </c>
      <c r="F77" s="7" t="inlineStr"/>
      <c r="G77" s="7" t="inlineStr">
        <is>
          <t>INV-017</t>
        </is>
      </c>
      <c r="H77" s="7" t="inlineStr">
        <is>
          <t>EJEMPLAR 1</t>
        </is>
      </c>
      <c r="I77" s="7" t="inlineStr">
        <is>
          <t>INVENTARIO TRUEQUE.xlsx</t>
        </is>
      </c>
      <c r="J77" s="7" t="n">
        <v>19</v>
      </c>
      <c r="K77" s="7" t="inlineStr">
        <is>
          <t>17</t>
        </is>
      </c>
      <c r="L77" s="7" t="inlineStr">
        <is>
          <t>1</t>
        </is>
      </c>
      <c r="M77" s="7" t="inlineStr"/>
      <c r="N77" s="7" t="inlineStr"/>
      <c r="O77" s="7">
        <f>IFERROR(IF(VLOOKUP($A77,Recepcion!$A$2:$I$85,4,FALSE)="SÍ",IF(VLOOKUP($A77,Recepcion!$A$2:$I$85,5,FALSE)="ACEPTADO","DISPONIBLE",IF(VLOOKUP($A77,Recepcion!$A$2:$I$85,5,FALSE)="RECHAZADO","RECHAZADO","PENDIENTE_VERIFICACION")),IF(VLOOKUP($A77,Recepcion!$A$2:$I$85,4,FALSE)="NO","NO_PRESENTE","PENDIENTE_VERIFICACION")),"PENDIENTE_VERIFICACION")</f>
        <v/>
      </c>
      <c r="P77" s="7">
        <f>IF(O77="DISPONIBLE","SÍ","NO")</f>
        <v/>
      </c>
      <c r="Q77" s="7">
        <f>IF(COUNTIFS(Intercambios!$D$4:$D$103,A77,Intercambios!$G$4:$G$103,"REGISTRADO",Intercambios!$J$4:$J$103,"VÁLIDO")+COUNTIFS(Intercambios!$E$4:$E$103,A77,Intercambios!$G$4:$G$103,"REGISTRADO",Intercambios!$J$4:$J$103,"VÁLIDO")&gt;0,"INTERCAMBIADO",O77)</f>
        <v/>
      </c>
      <c r="R77" s="7">
        <f>IFERROR(VLOOKUP($A77,Recepcion!$A$2:$I$85,7,FALSE),"")</f>
        <v/>
      </c>
      <c r="S77" s="7">
        <f>IFERROR(VLOOKUP($A77,Recepcion!$A$2:$I$85,8,FALSE),"")</f>
        <v/>
      </c>
      <c r="T77" s="7">
        <f>IFERROR(VLOOKUP($A77,Recepcion!$A$2:$I$85,9,FALSE),"")</f>
        <v/>
      </c>
    </row>
    <row r="78">
      <c r="A78" s="7" t="inlineStr">
        <is>
          <t>CH-010</t>
        </is>
      </c>
      <c r="B78" s="7" t="inlineStr">
        <is>
          <t>BIB-068</t>
        </is>
      </c>
      <c r="C78" s="7" t="inlineStr">
        <is>
          <t>Por favor , Vuelve a casa</t>
        </is>
      </c>
      <c r="D78" s="7" t="inlineStr">
        <is>
          <t>Nostlinger Christine</t>
        </is>
      </c>
      <c r="E78" s="7" t="inlineStr">
        <is>
          <t>Norma</t>
        </is>
      </c>
      <c r="F78" s="7" t="inlineStr">
        <is>
          <t>9789584519931</t>
        </is>
      </c>
      <c r="G78" s="7" t="inlineStr">
        <is>
          <t>CH-010</t>
        </is>
      </c>
      <c r="H78" s="7" t="inlineStr">
        <is>
          <t>ITEM 10</t>
        </is>
      </c>
      <c r="I78" s="7" t="inlineStr">
        <is>
          <t>Libros para el Trueque Literario CH.xlsx</t>
        </is>
      </c>
      <c r="J78" s="7" t="n">
        <v>11</v>
      </c>
      <c r="K78" s="7" t="inlineStr">
        <is>
          <t>10</t>
        </is>
      </c>
      <c r="L78" s="7" t="inlineStr"/>
      <c r="M78" s="7" t="inlineStr"/>
      <c r="N78" s="7" t="inlineStr"/>
      <c r="O78" s="7">
        <f>IFERROR(IF(VLOOKUP($A78,Recepcion!$A$2:$I$85,4,FALSE)="SÍ",IF(VLOOKUP($A78,Recepcion!$A$2:$I$85,5,FALSE)="ACEPTADO","DISPONIBLE",IF(VLOOKUP($A78,Recepcion!$A$2:$I$85,5,FALSE)="RECHAZADO","RECHAZADO","PENDIENTE_VERIFICACION")),IF(VLOOKUP($A78,Recepcion!$A$2:$I$85,4,FALSE)="NO","NO_PRESENTE","PENDIENTE_VERIFICACION")),"PENDIENTE_VERIFICACION")</f>
        <v/>
      </c>
      <c r="P78" s="7">
        <f>IF(O78="DISPONIBLE","SÍ","NO")</f>
        <v/>
      </c>
      <c r="Q78" s="7">
        <f>IF(COUNTIFS(Intercambios!$D$4:$D$103,A78,Intercambios!$G$4:$G$103,"REGISTRADO",Intercambios!$J$4:$J$103,"VÁLIDO")+COUNTIFS(Intercambios!$E$4:$E$103,A78,Intercambios!$G$4:$G$103,"REGISTRADO",Intercambios!$J$4:$J$103,"VÁLIDO")&gt;0,"INTERCAMBIADO",O78)</f>
        <v/>
      </c>
      <c r="R78" s="7">
        <f>IFERROR(VLOOKUP($A78,Recepcion!$A$2:$I$85,7,FALSE),"")</f>
        <v/>
      </c>
      <c r="S78" s="7">
        <f>IFERROR(VLOOKUP($A78,Recepcion!$A$2:$I$85,8,FALSE),"")</f>
        <v/>
      </c>
      <c r="T78" s="7">
        <f>IFERROR(VLOOKUP($A78,Recepcion!$A$2:$I$85,9,FALSE),"")</f>
        <v/>
      </c>
    </row>
    <row r="79">
      <c r="A79" s="7" t="inlineStr">
        <is>
          <t>INV-002</t>
        </is>
      </c>
      <c r="B79" s="7" t="inlineStr">
        <is>
          <t>BIB-069</t>
        </is>
      </c>
      <c r="C79" s="7" t="inlineStr">
        <is>
          <t>Precuela Antes de Ella</t>
        </is>
      </c>
      <c r="D79" s="7" t="inlineStr">
        <is>
          <t>Flor Salvador</t>
        </is>
      </c>
      <c r="E79" s="7" t="inlineStr">
        <is>
          <t>N/E</t>
        </is>
      </c>
      <c r="F79" s="7" t="inlineStr"/>
      <c r="G79" s="7" t="inlineStr">
        <is>
          <t>INV-002</t>
        </is>
      </c>
      <c r="H79" s="7" t="inlineStr">
        <is>
          <t>EJEMPLAR 1</t>
        </is>
      </c>
      <c r="I79" s="7" t="inlineStr">
        <is>
          <t>INVENTARIO TRUEQUE.xlsx</t>
        </is>
      </c>
      <c r="J79" s="7" t="n">
        <v>4</v>
      </c>
      <c r="K79" s="7" t="inlineStr">
        <is>
          <t>2</t>
        </is>
      </c>
      <c r="L79" s="7" t="inlineStr">
        <is>
          <t>1</t>
        </is>
      </c>
      <c r="M79" s="7" t="inlineStr"/>
      <c r="N79" s="7" t="inlineStr"/>
      <c r="O79" s="7">
        <f>IFERROR(IF(VLOOKUP($A79,Recepcion!$A$2:$I$85,4,FALSE)="SÍ",IF(VLOOKUP($A79,Recepcion!$A$2:$I$85,5,FALSE)="ACEPTADO","DISPONIBLE",IF(VLOOKUP($A79,Recepcion!$A$2:$I$85,5,FALSE)="RECHAZADO","RECHAZADO","PENDIENTE_VERIFICACION")),IF(VLOOKUP($A79,Recepcion!$A$2:$I$85,4,FALSE)="NO","NO_PRESENTE","PENDIENTE_VERIFICACION")),"PENDIENTE_VERIFICACION")</f>
        <v/>
      </c>
      <c r="P79" s="7">
        <f>IF(O79="DISPONIBLE","SÍ","NO")</f>
        <v/>
      </c>
      <c r="Q79" s="7">
        <f>IF(COUNTIFS(Intercambios!$D$4:$D$103,A79,Intercambios!$G$4:$G$103,"REGISTRADO",Intercambios!$J$4:$J$103,"VÁLIDO")+COUNTIFS(Intercambios!$E$4:$E$103,A79,Intercambios!$G$4:$G$103,"REGISTRADO",Intercambios!$J$4:$J$103,"VÁLIDO")&gt;0,"INTERCAMBIADO",O79)</f>
        <v/>
      </c>
      <c r="R79" s="7">
        <f>IFERROR(VLOOKUP($A79,Recepcion!$A$2:$I$85,7,FALSE),"")</f>
        <v/>
      </c>
      <c r="S79" s="7">
        <f>IFERROR(VLOOKUP($A79,Recepcion!$A$2:$I$85,8,FALSE),"")</f>
        <v/>
      </c>
      <c r="T79" s="7">
        <f>IFERROR(VLOOKUP($A79,Recepcion!$A$2:$I$85,9,FALSE),"")</f>
        <v/>
      </c>
    </row>
    <row r="80">
      <c r="A80" s="7" t="inlineStr">
        <is>
          <t>INV-052</t>
        </is>
      </c>
      <c r="B80" s="7" t="inlineStr">
        <is>
          <t>BIB-070</t>
        </is>
      </c>
      <c r="C80" s="7" t="inlineStr">
        <is>
          <t>¿Quien se ha Llevado mi Queso?</t>
        </is>
      </c>
      <c r="D80" s="7" t="inlineStr">
        <is>
          <t>Spencer Johnson</t>
        </is>
      </c>
      <c r="E80" s="7" t="inlineStr">
        <is>
          <t>N/E</t>
        </is>
      </c>
      <c r="F80" s="7" t="inlineStr"/>
      <c r="G80" s="7" t="inlineStr">
        <is>
          <t>INV-052</t>
        </is>
      </c>
      <c r="H80" s="7" t="inlineStr">
        <is>
          <t>EJEMPLAR 1</t>
        </is>
      </c>
      <c r="I80" s="7" t="inlineStr">
        <is>
          <t>INVENTARIO TRUEQUE.xlsx</t>
        </is>
      </c>
      <c r="J80" s="7" t="n">
        <v>54</v>
      </c>
      <c r="K80" s="7" t="inlineStr">
        <is>
          <t>52</t>
        </is>
      </c>
      <c r="L80" s="7" t="inlineStr">
        <is>
          <t>1</t>
        </is>
      </c>
      <c r="M80" s="7" t="inlineStr"/>
      <c r="N80" s="7" t="inlineStr"/>
      <c r="O80" s="7">
        <f>IFERROR(IF(VLOOKUP($A80,Recepcion!$A$2:$I$85,4,FALSE)="SÍ",IF(VLOOKUP($A80,Recepcion!$A$2:$I$85,5,FALSE)="ACEPTADO","DISPONIBLE",IF(VLOOKUP($A80,Recepcion!$A$2:$I$85,5,FALSE)="RECHAZADO","RECHAZADO","PENDIENTE_VERIFICACION")),IF(VLOOKUP($A80,Recepcion!$A$2:$I$85,4,FALSE)="NO","NO_PRESENTE","PENDIENTE_VERIFICACION")),"PENDIENTE_VERIFICACION")</f>
        <v/>
      </c>
      <c r="P80" s="7">
        <f>IF(O80="DISPONIBLE","SÍ","NO")</f>
        <v/>
      </c>
      <c r="Q80" s="7">
        <f>IF(COUNTIFS(Intercambios!$D$4:$D$103,A80,Intercambios!$G$4:$G$103,"REGISTRADO",Intercambios!$J$4:$J$103,"VÁLIDO")+COUNTIFS(Intercambios!$E$4:$E$103,A80,Intercambios!$G$4:$G$103,"REGISTRADO",Intercambios!$J$4:$J$103,"VÁLIDO")&gt;0,"INTERCAMBIADO",O80)</f>
        <v/>
      </c>
      <c r="R80" s="7">
        <f>IFERROR(VLOOKUP($A80,Recepcion!$A$2:$I$85,7,FALSE),"")</f>
        <v/>
      </c>
      <c r="S80" s="7">
        <f>IFERROR(VLOOKUP($A80,Recepcion!$A$2:$I$85,8,FALSE),"")</f>
        <v/>
      </c>
      <c r="T80" s="7">
        <f>IFERROR(VLOOKUP($A80,Recepcion!$A$2:$I$85,9,FALSE),"")</f>
        <v/>
      </c>
    </row>
    <row r="81">
      <c r="A81" s="7" t="inlineStr">
        <is>
          <t>CH-017</t>
        </is>
      </c>
      <c r="B81" s="7" t="inlineStr">
        <is>
          <t>BIB-071</t>
        </is>
      </c>
      <c r="C81" s="7" t="inlineStr">
        <is>
          <t>Relato de un Náufrago</t>
        </is>
      </c>
      <c r="D81" s="7" t="inlineStr">
        <is>
          <t>García Márquez Gabriel</t>
        </is>
      </c>
      <c r="E81" s="7" t="inlineStr">
        <is>
          <t>Norma</t>
        </is>
      </c>
      <c r="F81" s="7" t="inlineStr">
        <is>
          <t>9789588774053</t>
        </is>
      </c>
      <c r="G81" s="7" t="inlineStr">
        <is>
          <t>CH-017</t>
        </is>
      </c>
      <c r="H81" s="7" t="inlineStr">
        <is>
          <t>ITEM 17</t>
        </is>
      </c>
      <c r="I81" s="7" t="inlineStr">
        <is>
          <t>Libros para el Trueque Literario CH.xlsx</t>
        </is>
      </c>
      <c r="J81" s="7" t="n">
        <v>18</v>
      </c>
      <c r="K81" s="7" t="inlineStr">
        <is>
          <t>17</t>
        </is>
      </c>
      <c r="L81" s="7" t="inlineStr"/>
      <c r="M81" s="7" t="inlineStr">
        <is>
          <t>Este esta un poco dañado en la punta</t>
        </is>
      </c>
      <c r="N81" s="7" t="inlineStr">
        <is>
          <t>POSIBLE_DUPLICADO_ENTRE_FUENTES</t>
        </is>
      </c>
      <c r="O81" s="7">
        <f>IFERROR(IF(VLOOKUP($A81,Recepcion!$A$2:$I$85,4,FALSE)="SÍ",IF(VLOOKUP($A81,Recepcion!$A$2:$I$85,5,FALSE)="ACEPTADO","DISPONIBLE",IF(VLOOKUP($A81,Recepcion!$A$2:$I$85,5,FALSE)="RECHAZADO","RECHAZADO","PENDIENTE_VERIFICACION")),IF(VLOOKUP($A81,Recepcion!$A$2:$I$85,4,FALSE)="NO","NO_PRESENTE","PENDIENTE_VERIFICACION")),"PENDIENTE_VERIFICACION")</f>
        <v/>
      </c>
      <c r="P81" s="7">
        <f>IF(O81="DISPONIBLE","SÍ","NO")</f>
        <v/>
      </c>
      <c r="Q81" s="7">
        <f>IF(COUNTIFS(Intercambios!$D$4:$D$103,A81,Intercambios!$G$4:$G$103,"REGISTRADO",Intercambios!$J$4:$J$103,"VÁLIDO")+COUNTIFS(Intercambios!$E$4:$E$103,A81,Intercambios!$G$4:$G$103,"REGISTRADO",Intercambios!$J$4:$J$103,"VÁLIDO")&gt;0,"INTERCAMBIADO",O81)</f>
        <v/>
      </c>
      <c r="R81" s="7">
        <f>IFERROR(VLOOKUP($A81,Recepcion!$A$2:$I$85,7,FALSE),"")</f>
        <v/>
      </c>
      <c r="S81" s="7">
        <f>IFERROR(VLOOKUP($A81,Recepcion!$A$2:$I$85,8,FALSE),"")</f>
        <v/>
      </c>
      <c r="T81" s="7">
        <f>IFERROR(VLOOKUP($A81,Recepcion!$A$2:$I$85,9,FALSE),"")</f>
        <v/>
      </c>
    </row>
    <row r="82">
      <c r="A82" s="7" t="inlineStr">
        <is>
          <t>INV-018</t>
        </is>
      </c>
      <c r="B82" s="7" t="inlineStr">
        <is>
          <t>BIB-071</t>
        </is>
      </c>
      <c r="C82" s="7" t="inlineStr">
        <is>
          <t>Relato de un Naufrago</t>
        </is>
      </c>
      <c r="D82" s="7" t="inlineStr">
        <is>
          <t>Gabriel Garcia Marquez</t>
        </is>
      </c>
      <c r="E82" s="7" t="inlineStr">
        <is>
          <t>Norma</t>
        </is>
      </c>
      <c r="F82" s="7" t="inlineStr"/>
      <c r="G82" s="7" t="inlineStr">
        <is>
          <t>INV-018</t>
        </is>
      </c>
      <c r="H82" s="7" t="inlineStr">
        <is>
          <t>EJEMPLAR 1</t>
        </is>
      </c>
      <c r="I82" s="7" t="inlineStr">
        <is>
          <t>INVENTARIO TRUEQUE.xlsx</t>
        </is>
      </c>
      <c r="J82" s="7" t="n">
        <v>20</v>
      </c>
      <c r="K82" s="7" t="inlineStr">
        <is>
          <t>18</t>
        </is>
      </c>
      <c r="L82" s="7" t="inlineStr">
        <is>
          <t>1</t>
        </is>
      </c>
      <c r="M82" s="7" t="inlineStr">
        <is>
          <t>Posible duplicado de: CH-017 (CH)</t>
        </is>
      </c>
      <c r="N82" s="7" t="inlineStr">
        <is>
          <t>POSIBLE_DUPLICADO_ENTRE_FUENTES</t>
        </is>
      </c>
      <c r="O82" s="7">
        <f>IFERROR(IF(VLOOKUP($A82,Recepcion!$A$2:$I$85,4,FALSE)="SÍ",IF(VLOOKUP($A82,Recepcion!$A$2:$I$85,5,FALSE)="ACEPTADO","DISPONIBLE",IF(VLOOKUP($A82,Recepcion!$A$2:$I$85,5,FALSE)="RECHAZADO","RECHAZADO","PENDIENTE_VERIFICACION")),IF(VLOOKUP($A82,Recepcion!$A$2:$I$85,4,FALSE)="NO","NO_PRESENTE","PENDIENTE_VERIFICACION")),"PENDIENTE_VERIFICACION")</f>
        <v/>
      </c>
      <c r="P82" s="7">
        <f>IF(O82="DISPONIBLE","SÍ","NO")</f>
        <v/>
      </c>
      <c r="Q82" s="7">
        <f>IF(COUNTIFS(Intercambios!$D$4:$D$103,A82,Intercambios!$G$4:$G$103,"REGISTRADO",Intercambios!$J$4:$J$103,"VÁLIDO")+COUNTIFS(Intercambios!$E$4:$E$103,A82,Intercambios!$G$4:$G$103,"REGISTRADO",Intercambios!$J$4:$J$103,"VÁLIDO")&gt;0,"INTERCAMBIADO",O82)</f>
        <v/>
      </c>
      <c r="R82" s="7">
        <f>IFERROR(VLOOKUP($A82,Recepcion!$A$2:$I$85,7,FALSE),"")</f>
        <v/>
      </c>
      <c r="S82" s="7">
        <f>IFERROR(VLOOKUP($A82,Recepcion!$A$2:$I$85,8,FALSE),"")</f>
        <v/>
      </c>
      <c r="T82" s="7">
        <f>IFERROR(VLOOKUP($A82,Recepcion!$A$2:$I$85,9,FALSE),"")</f>
        <v/>
      </c>
    </row>
    <row r="83">
      <c r="A83" s="7" t="inlineStr">
        <is>
          <t>INV-034</t>
        </is>
      </c>
      <c r="B83" s="7" t="inlineStr">
        <is>
          <t>BIB-072</t>
        </is>
      </c>
      <c r="C83" s="7" t="inlineStr">
        <is>
          <t>Sea su Propio Jefe</t>
        </is>
      </c>
      <c r="D83" s="7" t="inlineStr">
        <is>
          <t>N/A</t>
        </is>
      </c>
      <c r="E83" s="7" t="inlineStr">
        <is>
          <t>El Espectador</t>
        </is>
      </c>
      <c r="F83" s="7" t="inlineStr"/>
      <c r="G83" s="7" t="inlineStr">
        <is>
          <t>INV-034</t>
        </is>
      </c>
      <c r="H83" s="7" t="inlineStr">
        <is>
          <t>EJEMPLAR 1</t>
        </is>
      </c>
      <c r="I83" s="7" t="inlineStr">
        <is>
          <t>INVENTARIO TRUEQUE.xlsx</t>
        </is>
      </c>
      <c r="J83" s="7" t="n">
        <v>36</v>
      </c>
      <c r="K83" s="7" t="inlineStr">
        <is>
          <t>34</t>
        </is>
      </c>
      <c r="L83" s="7" t="inlineStr">
        <is>
          <t>1</t>
        </is>
      </c>
      <c r="M83" s="7" t="inlineStr"/>
      <c r="N83" s="7" t="inlineStr"/>
      <c r="O83" s="7">
        <f>IFERROR(IF(VLOOKUP($A83,Recepcion!$A$2:$I$85,4,FALSE)="SÍ",IF(VLOOKUP($A83,Recepcion!$A$2:$I$85,5,FALSE)="ACEPTADO","DISPONIBLE",IF(VLOOKUP($A83,Recepcion!$A$2:$I$85,5,FALSE)="RECHAZADO","RECHAZADO","PENDIENTE_VERIFICACION")),IF(VLOOKUP($A83,Recepcion!$A$2:$I$85,4,FALSE)="NO","NO_PRESENTE","PENDIENTE_VERIFICACION")),"PENDIENTE_VERIFICACION")</f>
        <v/>
      </c>
      <c r="P83" s="7">
        <f>IF(O83="DISPONIBLE","SÍ","NO")</f>
        <v/>
      </c>
      <c r="Q83" s="7">
        <f>IF(COUNTIFS(Intercambios!$D$4:$D$103,A83,Intercambios!$G$4:$G$103,"REGISTRADO",Intercambios!$J$4:$J$103,"VÁLIDO")+COUNTIFS(Intercambios!$E$4:$E$103,A83,Intercambios!$G$4:$G$103,"REGISTRADO",Intercambios!$J$4:$J$103,"VÁLIDO")&gt;0,"INTERCAMBIADO",O83)</f>
        <v/>
      </c>
      <c r="R83" s="7">
        <f>IFERROR(VLOOKUP($A83,Recepcion!$A$2:$I$85,7,FALSE),"")</f>
        <v/>
      </c>
      <c r="S83" s="7">
        <f>IFERROR(VLOOKUP($A83,Recepcion!$A$2:$I$85,8,FALSE),"")</f>
        <v/>
      </c>
      <c r="T83" s="7">
        <f>IFERROR(VLOOKUP($A83,Recepcion!$A$2:$I$85,9,FALSE),"")</f>
        <v/>
      </c>
    </row>
    <row r="84">
      <c r="A84" s="7" t="inlineStr">
        <is>
          <t>INV-046</t>
        </is>
      </c>
      <c r="B84" s="7" t="inlineStr">
        <is>
          <t>BIB-073</t>
        </is>
      </c>
      <c r="C84" s="7" t="inlineStr">
        <is>
          <t>Toby</t>
        </is>
      </c>
      <c r="D84" s="7" t="inlineStr">
        <is>
          <t>Graciela Cabal</t>
        </is>
      </c>
      <c r="E84" s="7" t="inlineStr">
        <is>
          <t>Norma</t>
        </is>
      </c>
      <c r="F84" s="7" t="inlineStr"/>
      <c r="G84" s="7" t="inlineStr">
        <is>
          <t>INV-046</t>
        </is>
      </c>
      <c r="H84" s="7" t="inlineStr">
        <is>
          <t>EJEMPLAR 1</t>
        </is>
      </c>
      <c r="I84" s="7" t="inlineStr">
        <is>
          <t>INVENTARIO TRUEQUE.xlsx</t>
        </is>
      </c>
      <c r="J84" s="7" t="n">
        <v>48</v>
      </c>
      <c r="K84" s="7" t="inlineStr">
        <is>
          <t>46</t>
        </is>
      </c>
      <c r="L84" s="7" t="inlineStr">
        <is>
          <t>1</t>
        </is>
      </c>
      <c r="M84" s="7" t="inlineStr"/>
      <c r="N84" s="7" t="inlineStr"/>
      <c r="O84" s="7">
        <f>IFERROR(IF(VLOOKUP($A84,Recepcion!$A$2:$I$85,4,FALSE)="SÍ",IF(VLOOKUP($A84,Recepcion!$A$2:$I$85,5,FALSE)="ACEPTADO","DISPONIBLE",IF(VLOOKUP($A84,Recepcion!$A$2:$I$85,5,FALSE)="RECHAZADO","RECHAZADO","PENDIENTE_VERIFICACION")),IF(VLOOKUP($A84,Recepcion!$A$2:$I$85,4,FALSE)="NO","NO_PRESENTE","PENDIENTE_VERIFICACION")),"PENDIENTE_VERIFICACION")</f>
        <v/>
      </c>
      <c r="P84" s="7">
        <f>IF(O84="DISPONIBLE","SÍ","NO")</f>
        <v/>
      </c>
      <c r="Q84" s="7">
        <f>IF(COUNTIFS(Intercambios!$D$4:$D$103,A84,Intercambios!$G$4:$G$103,"REGISTRADO",Intercambios!$J$4:$J$103,"VÁLIDO")+COUNTIFS(Intercambios!$E$4:$E$103,A84,Intercambios!$G$4:$G$103,"REGISTRADO",Intercambios!$J$4:$J$103,"VÁLIDO")&gt;0,"INTERCAMBIADO",O84)</f>
        <v/>
      </c>
      <c r="R84" s="7">
        <f>IFERROR(VLOOKUP($A84,Recepcion!$A$2:$I$85,7,FALSE),"")</f>
        <v/>
      </c>
      <c r="S84" s="7">
        <f>IFERROR(VLOOKUP($A84,Recepcion!$A$2:$I$85,8,FALSE),"")</f>
        <v/>
      </c>
      <c r="T84" s="7">
        <f>IFERROR(VLOOKUP($A84,Recepcion!$A$2:$I$85,9,FALSE),"")</f>
        <v/>
      </c>
    </row>
    <row r="85">
      <c r="A85" s="7" t="inlineStr">
        <is>
          <t>INV-036</t>
        </is>
      </c>
      <c r="B85" s="7" t="inlineStr">
        <is>
          <t>BIB-074</t>
        </is>
      </c>
      <c r="C85" s="7" t="inlineStr">
        <is>
          <t>Veinte Poemas de Amor y una Cancion Desesperada</t>
        </is>
      </c>
      <c r="D85" s="7" t="inlineStr">
        <is>
          <t>Pablo Neruda</t>
        </is>
      </c>
      <c r="E85" s="7" t="inlineStr">
        <is>
          <t>N/E</t>
        </is>
      </c>
      <c r="F85" s="7" t="inlineStr"/>
      <c r="G85" s="7" t="inlineStr">
        <is>
          <t>INV-036</t>
        </is>
      </c>
      <c r="H85" s="7" t="inlineStr">
        <is>
          <t>EJEMPLAR 1</t>
        </is>
      </c>
      <c r="I85" s="7" t="inlineStr">
        <is>
          <t>INVENTARIO TRUEQUE.xlsx</t>
        </is>
      </c>
      <c r="J85" s="7" t="n">
        <v>38</v>
      </c>
      <c r="K85" s="7" t="inlineStr">
        <is>
          <t>36</t>
        </is>
      </c>
      <c r="L85" s="7" t="inlineStr">
        <is>
          <t>1</t>
        </is>
      </c>
      <c r="M85" s="7" t="inlineStr"/>
      <c r="N85" s="7" t="inlineStr"/>
      <c r="O85" s="7">
        <f>IFERROR(IF(VLOOKUP($A85,Recepcion!$A$2:$I$85,4,FALSE)="SÍ",IF(VLOOKUP($A85,Recepcion!$A$2:$I$85,5,FALSE)="ACEPTADO","DISPONIBLE",IF(VLOOKUP($A85,Recepcion!$A$2:$I$85,5,FALSE)="RECHAZADO","RECHAZADO","PENDIENTE_VERIFICACION")),IF(VLOOKUP($A85,Recepcion!$A$2:$I$85,4,FALSE)="NO","NO_PRESENTE","PENDIENTE_VERIFICACION")),"PENDIENTE_VERIFICACION")</f>
        <v/>
      </c>
      <c r="P85" s="7">
        <f>IF(O85="DISPONIBLE","SÍ","NO")</f>
        <v/>
      </c>
      <c r="Q85" s="7">
        <f>IF(COUNTIFS(Intercambios!$D$4:$D$103,A85,Intercambios!$G$4:$G$103,"REGISTRADO",Intercambios!$J$4:$J$103,"VÁLIDO")+COUNTIFS(Intercambios!$E$4:$E$103,A85,Intercambios!$G$4:$G$103,"REGISTRADO",Intercambios!$J$4:$J$103,"VÁLIDO")&gt;0,"INTERCAMBIADO",O85)</f>
        <v/>
      </c>
      <c r="R85" s="7">
        <f>IFERROR(VLOOKUP($A85,Recepcion!$A$2:$I$85,7,FALSE),"")</f>
        <v/>
      </c>
      <c r="S85" s="7">
        <f>IFERROR(VLOOKUP($A85,Recepcion!$A$2:$I$85,8,FALSE),"")</f>
        <v/>
      </c>
      <c r="T85" s="7">
        <f>IFERROR(VLOOKUP($A85,Recepcion!$A$2:$I$85,9,FALSE),"")</f>
        <v/>
      </c>
    </row>
  </sheetData>
  <autoFilter ref="A1:T85"/>
  <conditionalFormatting sqref="O2:O85">
    <cfRule type="expression" priority="1" dxfId="0">
      <formula>$O2="PENDIENTE_VERIFICACION"</formula>
    </cfRule>
    <cfRule type="expression" priority="3" dxfId="1">
      <formula>$O2="DISPONIBLE"</formula>
    </cfRule>
    <cfRule type="expression" priority="5" dxfId="2">
      <formula>$O2="RECHAZADO"</formula>
    </cfRule>
    <cfRule type="expression" priority="7" dxfId="3">
      <formula>$O2="NO_PRESENTE"</formula>
    </cfRule>
    <cfRule type="expression" priority="9" dxfId="4">
      <formula>$O2="INTERCAMBIADO"</formula>
    </cfRule>
  </conditionalFormatting>
  <conditionalFormatting sqref="Q2:Q85">
    <cfRule type="expression" priority="2" dxfId="0">
      <formula>$Q2="PENDIENTE_VERIFICACION"</formula>
    </cfRule>
    <cfRule type="expression" priority="4" dxfId="1">
      <formula>$Q2="DISPONIBLE"</formula>
    </cfRule>
    <cfRule type="expression" priority="6" dxfId="2">
      <formula>$Q2="RECHAZADO"</formula>
    </cfRule>
    <cfRule type="expression" priority="8" dxfId="3">
      <formula>$Q2="NO_PRESENTE"</formula>
    </cfRule>
    <cfRule type="expression" priority="10" dxfId="4">
      <formula>$Q2="INTERCAMBIADO"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12" customWidth="1" min="4" max="4"/>
    <col width="14" customWidth="1" min="5" max="5"/>
    <col width="18" customWidth="1" min="6" max="6"/>
    <col width="22" customWidth="1" min="7" max="7"/>
    <col width="12" customWidth="1" min="8" max="8"/>
    <col width="34" customWidth="1" min="9" max="9"/>
  </cols>
  <sheetData>
    <row r="1" ht="30" customHeight="1">
      <c r="A1" s="8" t="inlineStr">
        <is>
          <t>ID_EJEMPLAR</t>
        </is>
      </c>
      <c r="B1" s="8" t="inlineStr">
        <is>
          <t>TITULO</t>
        </is>
      </c>
      <c r="C1" s="8" t="inlineStr">
        <is>
          <t>AUTOR</t>
        </is>
      </c>
      <c r="D1" s="8" t="inlineStr">
        <is>
          <t>PRESENTE</t>
        </is>
      </c>
      <c r="E1" s="8" t="inlineStr">
        <is>
          <t>ACEPTADO</t>
        </is>
      </c>
      <c r="F1" s="8" t="inlineStr">
        <is>
          <t>ESTADO_FISICO</t>
        </is>
      </c>
      <c r="G1" s="8" t="inlineStr">
        <is>
          <t>RESPONSABLE</t>
        </is>
      </c>
      <c r="H1" s="8" t="inlineStr">
        <is>
          <t>HORA</t>
        </is>
      </c>
      <c r="I1" s="8" t="inlineStr">
        <is>
          <t>OBSERVACIONES</t>
        </is>
      </c>
    </row>
    <row r="2">
      <c r="A2" s="7" t="inlineStr">
        <is>
          <t>CH-003</t>
        </is>
      </c>
      <c r="B2" s="7" t="inlineStr">
        <is>
          <t>Acompañada, pero a solas con la vida</t>
        </is>
      </c>
      <c r="C2" s="7" t="inlineStr">
        <is>
          <t>Johana Brewne Kelly</t>
        </is>
      </c>
      <c r="D2" s="9" t="inlineStr">
        <is>
          <t>SÍ</t>
        </is>
      </c>
      <c r="E2" s="9" t="inlineStr">
        <is>
          <t>ACEPTADO</t>
        </is>
      </c>
      <c r="F2" s="9" t="inlineStr"/>
      <c r="G2" s="9" t="inlineStr"/>
      <c r="H2" s="9" t="inlineStr"/>
      <c r="I2" s="9" t="inlineStr"/>
    </row>
    <row r="3">
      <c r="A3" s="7" t="inlineStr">
        <is>
          <t>INV-063</t>
        </is>
      </c>
      <c r="B3" s="7" t="inlineStr">
        <is>
          <t>Acompañada, pero a solas con la vida</t>
        </is>
      </c>
      <c r="C3" s="7" t="inlineStr">
        <is>
          <t>Kelly Johana Brewne</t>
        </is>
      </c>
      <c r="D3" s="9" t="inlineStr">
        <is>
          <t>SÍ</t>
        </is>
      </c>
      <c r="E3" s="9" t="inlineStr">
        <is>
          <t>ACEPTADO</t>
        </is>
      </c>
      <c r="F3" s="9" t="inlineStr"/>
      <c r="G3" s="9" t="inlineStr"/>
      <c r="H3" s="9" t="inlineStr"/>
      <c r="I3" s="9" t="inlineStr"/>
    </row>
    <row r="4">
      <c r="A4" s="7" t="inlineStr">
        <is>
          <t>INV-053</t>
        </is>
      </c>
      <c r="B4" s="7" t="inlineStr">
        <is>
          <t>Bailando con Lobos</t>
        </is>
      </c>
      <c r="C4" s="7" t="inlineStr">
        <is>
          <t>Michael Blake</t>
        </is>
      </c>
      <c r="D4" s="9" t="inlineStr">
        <is>
          <t>SÍ</t>
        </is>
      </c>
      <c r="E4" s="9" t="inlineStr">
        <is>
          <t>ACEPTADO</t>
        </is>
      </c>
      <c r="F4" s="9" t="inlineStr"/>
      <c r="G4" s="9" t="inlineStr"/>
      <c r="H4" s="9" t="inlineStr"/>
      <c r="I4" s="9" t="inlineStr"/>
    </row>
    <row r="5">
      <c r="A5" s="7" t="inlineStr">
        <is>
          <t>INV-009</t>
        </is>
      </c>
      <c r="B5" s="7" t="inlineStr">
        <is>
          <t>Bajo la Luna de Mayo</t>
        </is>
      </c>
      <c r="C5" s="7" t="inlineStr">
        <is>
          <t>Gerardo Meneses</t>
        </is>
      </c>
      <c r="D5" s="9" t="inlineStr">
        <is>
          <t>SÍ</t>
        </is>
      </c>
      <c r="E5" s="9" t="inlineStr">
        <is>
          <t>ACEPTADO</t>
        </is>
      </c>
      <c r="F5" s="9" t="inlineStr"/>
      <c r="G5" s="9" t="inlineStr"/>
      <c r="H5" s="9" t="inlineStr"/>
      <c r="I5" s="9" t="inlineStr"/>
    </row>
    <row r="6">
      <c r="A6" s="7" t="inlineStr">
        <is>
          <t>INV-049</t>
        </is>
      </c>
      <c r="B6" s="7" t="inlineStr">
        <is>
          <t>Bajo la Misma Estrella</t>
        </is>
      </c>
      <c r="C6" s="7" t="inlineStr">
        <is>
          <t>John Green</t>
        </is>
      </c>
      <c r="D6" s="9" t="inlineStr">
        <is>
          <t>SÍ</t>
        </is>
      </c>
      <c r="E6" s="9" t="inlineStr">
        <is>
          <t>ACEPTADO</t>
        </is>
      </c>
      <c r="F6" s="9" t="inlineStr"/>
      <c r="G6" s="9" t="inlineStr"/>
      <c r="H6" s="9" t="inlineStr"/>
      <c r="I6" s="9" t="inlineStr"/>
    </row>
    <row r="7">
      <c r="A7" s="7" t="inlineStr">
        <is>
          <t>INV-027</t>
        </is>
      </c>
      <c r="B7" s="7" t="inlineStr">
        <is>
          <t>Boulevard</t>
        </is>
      </c>
      <c r="C7" s="7" t="inlineStr">
        <is>
          <t>Flor Salvador</t>
        </is>
      </c>
      <c r="D7" s="9" t="inlineStr">
        <is>
          <t>SÍ</t>
        </is>
      </c>
      <c r="E7" s="9" t="inlineStr">
        <is>
          <t>ACEPTADO</t>
        </is>
      </c>
      <c r="F7" s="9" t="inlineStr"/>
      <c r="G7" s="9" t="inlineStr"/>
      <c r="H7" s="9" t="inlineStr"/>
      <c r="I7" s="9" t="inlineStr"/>
    </row>
    <row r="8">
      <c r="A8" s="7" t="inlineStr">
        <is>
          <t>INV-044</t>
        </is>
      </c>
      <c r="B8" s="7" t="inlineStr">
        <is>
          <t>Chat Natacha Chat</t>
        </is>
      </c>
      <c r="C8" s="7" t="inlineStr">
        <is>
          <t>Luis Maria Pescetti</t>
        </is>
      </c>
      <c r="D8" s="9" t="inlineStr">
        <is>
          <t>SÍ</t>
        </is>
      </c>
      <c r="E8" s="9" t="inlineStr">
        <is>
          <t>ACEPTADO</t>
        </is>
      </c>
      <c r="F8" s="9" t="inlineStr"/>
      <c r="G8" s="9" t="inlineStr"/>
      <c r="H8" s="9" t="inlineStr"/>
      <c r="I8" s="9" t="inlineStr"/>
    </row>
    <row r="9">
      <c r="A9" s="7" t="inlineStr">
        <is>
          <t>INV-056</t>
        </is>
      </c>
      <c r="B9" s="7" t="inlineStr">
        <is>
          <t>¿Chicos de la Calle o Trabajo Chico?</t>
        </is>
      </c>
      <c r="C9" s="7" t="inlineStr">
        <is>
          <t>Jose Manuel Grima, Alicia le Fur</t>
        </is>
      </c>
      <c r="D9" s="9" t="inlineStr">
        <is>
          <t>SÍ</t>
        </is>
      </c>
      <c r="E9" s="9" t="inlineStr">
        <is>
          <t>ACEPTADO</t>
        </is>
      </c>
      <c r="F9" s="9" t="inlineStr"/>
      <c r="G9" s="9" t="inlineStr"/>
      <c r="H9" s="9" t="inlineStr"/>
      <c r="I9" s="9" t="inlineStr"/>
    </row>
    <row r="10">
      <c r="A10" s="7" t="inlineStr">
        <is>
          <t>INV-029</t>
        </is>
      </c>
      <c r="B10" s="7" t="inlineStr">
        <is>
          <t>Cien Años de Soledad</t>
        </is>
      </c>
      <c r="C10" s="7" t="inlineStr">
        <is>
          <t>Gabriel Garcia Marquez</t>
        </is>
      </c>
      <c r="D10" s="9" t="inlineStr">
        <is>
          <t>SÍ</t>
        </is>
      </c>
      <c r="E10" s="9" t="inlineStr">
        <is>
          <t>ACEPTADO</t>
        </is>
      </c>
      <c r="F10" s="9" t="inlineStr"/>
      <c r="G10" s="9" t="inlineStr"/>
      <c r="H10" s="9" t="inlineStr"/>
      <c r="I10" s="9" t="inlineStr"/>
    </row>
    <row r="11">
      <c r="A11" s="7" t="inlineStr">
        <is>
          <t>CH-002</t>
        </is>
      </c>
      <c r="B11" s="7" t="inlineStr">
        <is>
          <t>Con el alma en la mano</t>
        </is>
      </c>
      <c r="C11" s="7" t="inlineStr">
        <is>
          <t>Perret Gentil Beatriz</t>
        </is>
      </c>
      <c r="D11" s="9" t="inlineStr">
        <is>
          <t>SÍ</t>
        </is>
      </c>
      <c r="E11" s="9" t="inlineStr">
        <is>
          <t>ACEPTADO</t>
        </is>
      </c>
      <c r="F11" s="9" t="inlineStr"/>
      <c r="G11" s="9" t="inlineStr"/>
      <c r="H11" s="9" t="inlineStr"/>
      <c r="I11" s="9" t="inlineStr"/>
    </row>
    <row r="12">
      <c r="A12" s="7" t="inlineStr">
        <is>
          <t>INV-062</t>
        </is>
      </c>
      <c r="B12" s="7" t="inlineStr">
        <is>
          <t>Con el alma en la mano</t>
        </is>
      </c>
      <c r="C12" s="7" t="inlineStr">
        <is>
          <t>Beatriz Perret Gentil</t>
        </is>
      </c>
      <c r="D12" s="9" t="inlineStr">
        <is>
          <t>SÍ</t>
        </is>
      </c>
      <c r="E12" s="9" t="inlineStr">
        <is>
          <t>ACEPTADO</t>
        </is>
      </c>
      <c r="F12" s="9" t="inlineStr"/>
      <c r="G12" s="9" t="inlineStr"/>
      <c r="H12" s="9" t="inlineStr"/>
      <c r="I12" s="9" t="inlineStr"/>
    </row>
    <row r="13">
      <c r="A13" s="7" t="inlineStr">
        <is>
          <t>INV-007</t>
        </is>
      </c>
      <c r="B13" s="7" t="inlineStr">
        <is>
          <t>Conversaciones con Dios</t>
        </is>
      </c>
      <c r="C13" s="7" t="inlineStr">
        <is>
          <t>Neale Donald</t>
        </is>
      </c>
      <c r="D13" s="9" t="inlineStr">
        <is>
          <t>SÍ</t>
        </is>
      </c>
      <c r="E13" s="9" t="inlineStr">
        <is>
          <t>ACEPTADO</t>
        </is>
      </c>
      <c r="F13" s="9" t="inlineStr"/>
      <c r="G13" s="9" t="inlineStr"/>
      <c r="H13" s="9" t="inlineStr"/>
      <c r="I13" s="9" t="inlineStr"/>
    </row>
    <row r="14">
      <c r="A14" s="7" t="inlineStr">
        <is>
          <t>INV-050</t>
        </is>
      </c>
      <c r="B14" s="7" t="inlineStr">
        <is>
          <t>Cronicas de una Muerte Anunciada</t>
        </is>
      </c>
      <c r="C14" s="7" t="inlineStr">
        <is>
          <t>Gabriel Garcia Marquez</t>
        </is>
      </c>
      <c r="D14" s="9" t="inlineStr">
        <is>
          <t>SÍ</t>
        </is>
      </c>
      <c r="E14" s="9" t="inlineStr">
        <is>
          <t>ACEPTADO</t>
        </is>
      </c>
      <c r="F14" s="9" t="inlineStr"/>
      <c r="G14" s="9" t="inlineStr"/>
      <c r="H14" s="9" t="inlineStr"/>
      <c r="I14" s="9" t="inlineStr"/>
    </row>
    <row r="15">
      <c r="A15" s="7" t="inlineStr">
        <is>
          <t>CH-008</t>
        </is>
      </c>
      <c r="B15" s="7" t="inlineStr">
        <is>
          <t>Cuando despierte el viento</t>
        </is>
      </c>
      <c r="C15" s="7" t="inlineStr">
        <is>
          <t>Heredia Maria F.</t>
        </is>
      </c>
      <c r="D15" s="9" t="inlineStr">
        <is>
          <t>SÍ</t>
        </is>
      </c>
      <c r="E15" s="9" t="inlineStr">
        <is>
          <t>ACEPTADO</t>
        </is>
      </c>
      <c r="F15" s="9" t="inlineStr"/>
      <c r="G15" s="9" t="inlineStr"/>
      <c r="H15" s="9" t="inlineStr"/>
      <c r="I15" s="9" t="inlineStr"/>
    </row>
    <row r="16">
      <c r="A16" s="7" t="inlineStr">
        <is>
          <t>CH-007</t>
        </is>
      </c>
      <c r="B16" s="7" t="inlineStr">
        <is>
          <t>Cumbia Soul</t>
        </is>
      </c>
      <c r="C16" s="7" t="inlineStr">
        <is>
          <t>Maria T. Balogh</t>
        </is>
      </c>
      <c r="D16" s="9" t="inlineStr">
        <is>
          <t>SÍ</t>
        </is>
      </c>
      <c r="E16" s="9" t="inlineStr">
        <is>
          <t>ACEPTADO</t>
        </is>
      </c>
      <c r="F16" s="9" t="inlineStr"/>
      <c r="G16" s="9" t="inlineStr"/>
      <c r="H16" s="9" t="inlineStr"/>
      <c r="I16" s="9" t="inlineStr"/>
    </row>
    <row r="17">
      <c r="A17" s="7" t="inlineStr">
        <is>
          <t>INV-067</t>
        </is>
      </c>
      <c r="B17" s="7" t="inlineStr">
        <is>
          <t>Cumbia Soul</t>
        </is>
      </c>
      <c r="C17" s="7" t="inlineStr">
        <is>
          <t>Maria T. Balogh</t>
        </is>
      </c>
      <c r="D17" s="9" t="inlineStr">
        <is>
          <t>SÍ</t>
        </is>
      </c>
      <c r="E17" s="9" t="inlineStr">
        <is>
          <t>ACEPTADO</t>
        </is>
      </c>
      <c r="F17" s="9" t="inlineStr"/>
      <c r="G17" s="9" t="inlineStr"/>
      <c r="H17" s="9" t="inlineStr"/>
      <c r="I17" s="9" t="inlineStr"/>
    </row>
    <row r="18">
      <c r="A18" s="7" t="inlineStr">
        <is>
          <t>CH-005</t>
        </is>
      </c>
      <c r="B18" s="7" t="inlineStr">
        <is>
          <t>De Rejas y Amor</t>
        </is>
      </c>
      <c r="C18" s="7" t="inlineStr">
        <is>
          <t>Barreira Maria Arturo</t>
        </is>
      </c>
      <c r="D18" s="9" t="inlineStr">
        <is>
          <t>SÍ</t>
        </is>
      </c>
      <c r="E18" s="9" t="inlineStr">
        <is>
          <t>ACEPTADO</t>
        </is>
      </c>
      <c r="F18" s="9" t="inlineStr"/>
      <c r="G18" s="9" t="inlineStr"/>
      <c r="H18" s="9" t="inlineStr"/>
      <c r="I18" s="9" t="inlineStr"/>
    </row>
    <row r="19">
      <c r="A19" s="7" t="inlineStr">
        <is>
          <t>INV-065</t>
        </is>
      </c>
      <c r="B19" s="7" t="inlineStr">
        <is>
          <t>De Rejas y Amor</t>
        </is>
      </c>
      <c r="C19" s="7" t="inlineStr">
        <is>
          <t>Arturo Barreira Maria</t>
        </is>
      </c>
      <c r="D19" s="9" t="inlineStr">
        <is>
          <t>SÍ</t>
        </is>
      </c>
      <c r="E19" s="9" t="inlineStr">
        <is>
          <t>ACEPTADO</t>
        </is>
      </c>
      <c r="F19" s="9" t="inlineStr"/>
      <c r="G19" s="9" t="inlineStr"/>
      <c r="H19" s="9" t="inlineStr"/>
      <c r="I19" s="9" t="inlineStr"/>
    </row>
    <row r="20">
      <c r="A20" s="7" t="inlineStr">
        <is>
          <t>INV-023</t>
        </is>
      </c>
      <c r="B20" s="7" t="inlineStr">
        <is>
          <t>Del Secuestro y Otras Muertes</t>
        </is>
      </c>
      <c r="C20" s="7" t="inlineStr">
        <is>
          <t>Camilo Romero</t>
        </is>
      </c>
      <c r="D20" s="9" t="inlineStr">
        <is>
          <t>SÍ</t>
        </is>
      </c>
      <c r="E20" s="9" t="inlineStr">
        <is>
          <t>ACEPTADO</t>
        </is>
      </c>
      <c r="F20" s="9" t="inlineStr"/>
      <c r="G20" s="9" t="inlineStr"/>
      <c r="H20" s="9" t="inlineStr"/>
      <c r="I20" s="9" t="inlineStr"/>
    </row>
    <row r="21">
      <c r="A21" s="7" t="inlineStr">
        <is>
          <t>INV-004</t>
        </is>
      </c>
      <c r="B21" s="7" t="inlineStr">
        <is>
          <t>Despues de el. Secuela</t>
        </is>
      </c>
      <c r="C21" s="7" t="inlineStr">
        <is>
          <t>Flor Salvador</t>
        </is>
      </c>
      <c r="D21" s="9" t="inlineStr">
        <is>
          <t>SÍ</t>
        </is>
      </c>
      <c r="E21" s="9" t="inlineStr">
        <is>
          <t>ACEPTADO</t>
        </is>
      </c>
      <c r="F21" s="9" t="inlineStr"/>
      <c r="G21" s="9" t="inlineStr"/>
      <c r="H21" s="9" t="inlineStr"/>
      <c r="I21" s="9" t="inlineStr"/>
    </row>
    <row r="22">
      <c r="A22" s="7" t="inlineStr">
        <is>
          <t>INV-054</t>
        </is>
      </c>
      <c r="B22" s="7" t="inlineStr">
        <is>
          <t>Duespues del Funeral</t>
        </is>
      </c>
      <c r="C22" s="7" t="inlineStr">
        <is>
          <t>Agatha Christie</t>
        </is>
      </c>
      <c r="D22" s="9" t="inlineStr">
        <is>
          <t>SÍ</t>
        </is>
      </c>
      <c r="E22" s="9" t="inlineStr">
        <is>
          <t>ACEPTADO</t>
        </is>
      </c>
      <c r="F22" s="9" t="inlineStr"/>
      <c r="G22" s="9" t="inlineStr"/>
      <c r="H22" s="9" t="inlineStr"/>
      <c r="I22" s="9" t="inlineStr"/>
    </row>
    <row r="23">
      <c r="A23" s="7" t="inlineStr">
        <is>
          <t>CH-011</t>
        </is>
      </c>
      <c r="B23" s="7" t="inlineStr">
        <is>
          <t>El Abrazo</t>
        </is>
      </c>
      <c r="C23" s="7" t="inlineStr">
        <is>
          <t>Bojunga Lygia</t>
        </is>
      </c>
      <c r="D23" s="9" t="inlineStr">
        <is>
          <t>SÍ</t>
        </is>
      </c>
      <c r="E23" s="9" t="inlineStr">
        <is>
          <t>ACEPTADO</t>
        </is>
      </c>
      <c r="F23" s="9" t="inlineStr"/>
      <c r="G23" s="9" t="inlineStr"/>
      <c r="H23" s="9" t="inlineStr"/>
      <c r="I23" s="9" t="inlineStr"/>
    </row>
    <row r="24">
      <c r="A24" s="7" t="inlineStr">
        <is>
          <t>INV-013</t>
        </is>
      </c>
      <c r="B24" s="7" t="inlineStr">
        <is>
          <t>El Alquimista</t>
        </is>
      </c>
      <c r="C24" s="7" t="inlineStr">
        <is>
          <t>Paulo Coelho</t>
        </is>
      </c>
      <c r="D24" s="9" t="inlineStr">
        <is>
          <t>SÍ</t>
        </is>
      </c>
      <c r="E24" s="9" t="inlineStr">
        <is>
          <t>ACEPTADO</t>
        </is>
      </c>
      <c r="F24" s="9" t="inlineStr"/>
      <c r="G24" s="9" t="inlineStr"/>
      <c r="H24" s="9" t="inlineStr"/>
      <c r="I24" s="9" t="inlineStr"/>
    </row>
    <row r="25">
      <c r="A25" s="7" t="inlineStr">
        <is>
          <t>INV-005</t>
        </is>
      </c>
      <c r="B25" s="7" t="inlineStr">
        <is>
          <t>El Camino de la Felicidad</t>
        </is>
      </c>
      <c r="C25" s="7" t="inlineStr">
        <is>
          <t>Jorge Bucay</t>
        </is>
      </c>
      <c r="D25" s="9" t="inlineStr">
        <is>
          <t>SÍ</t>
        </is>
      </c>
      <c r="E25" s="9" t="inlineStr">
        <is>
          <t>ACEPTADO</t>
        </is>
      </c>
      <c r="F25" s="9" t="inlineStr"/>
      <c r="G25" s="9" t="inlineStr"/>
      <c r="H25" s="9" t="inlineStr"/>
      <c r="I25" s="9" t="inlineStr"/>
    </row>
    <row r="26">
      <c r="A26" s="7" t="inlineStr">
        <is>
          <t>INV-021</t>
        </is>
      </c>
      <c r="B26" s="7" t="inlineStr">
        <is>
          <t>El Cuaderno de Notas de Miguel</t>
        </is>
      </c>
      <c r="C26" s="7" t="inlineStr">
        <is>
          <t>Pedro Conrado Cudriz</t>
        </is>
      </c>
      <c r="D26" s="9" t="inlineStr">
        <is>
          <t>SÍ</t>
        </is>
      </c>
      <c r="E26" s="9" t="inlineStr">
        <is>
          <t>ACEPTADO</t>
        </is>
      </c>
      <c r="F26" s="9" t="inlineStr"/>
      <c r="G26" s="9" t="inlineStr"/>
      <c r="H26" s="9" t="inlineStr"/>
      <c r="I26" s="9" t="inlineStr"/>
    </row>
    <row r="27">
      <c r="A27" s="7" t="inlineStr">
        <is>
          <t>INV-045</t>
        </is>
      </c>
      <c r="B27" s="7" t="inlineStr">
        <is>
          <t>El Dia del Odio</t>
        </is>
      </c>
      <c r="C27" s="7" t="inlineStr">
        <is>
          <t>Osorio Lizarazo</t>
        </is>
      </c>
      <c r="D27" s="9" t="inlineStr">
        <is>
          <t>SÍ</t>
        </is>
      </c>
      <c r="E27" s="9" t="inlineStr">
        <is>
          <t>ACEPTADO</t>
        </is>
      </c>
      <c r="F27" s="9" t="inlineStr"/>
      <c r="G27" s="9" t="inlineStr"/>
      <c r="H27" s="9" t="inlineStr"/>
      <c r="I27" s="9" t="inlineStr"/>
    </row>
    <row r="28">
      <c r="A28" s="7" t="inlineStr">
        <is>
          <t>INV-057</t>
        </is>
      </c>
      <c r="B28" s="7" t="inlineStr">
        <is>
          <t>El Diablo de la Botella</t>
        </is>
      </c>
      <c r="C28" s="7" t="inlineStr">
        <is>
          <t>Robert Louis Stevenson</t>
        </is>
      </c>
      <c r="D28" s="9" t="inlineStr">
        <is>
          <t>SÍ</t>
        </is>
      </c>
      <c r="E28" s="9" t="inlineStr">
        <is>
          <t>ACEPTADO</t>
        </is>
      </c>
      <c r="F28" s="9" t="inlineStr"/>
      <c r="G28" s="9" t="inlineStr"/>
      <c r="H28" s="9" t="inlineStr"/>
      <c r="I28" s="9" t="inlineStr"/>
    </row>
    <row r="29">
      <c r="A29" s="7" t="inlineStr">
        <is>
          <t>INV-035</t>
        </is>
      </c>
      <c r="B29" s="7" t="inlineStr">
        <is>
          <t>El Extraño Caso del DR. Jekylly MR. Hyde</t>
        </is>
      </c>
      <c r="C29" s="7" t="inlineStr">
        <is>
          <t>Stevenson</t>
        </is>
      </c>
      <c r="D29" s="9" t="inlineStr">
        <is>
          <t>SÍ</t>
        </is>
      </c>
      <c r="E29" s="9" t="inlineStr">
        <is>
          <t>ACEPTADO</t>
        </is>
      </c>
      <c r="F29" s="9" t="inlineStr"/>
      <c r="G29" s="9" t="inlineStr"/>
      <c r="H29" s="9" t="inlineStr"/>
      <c r="I29" s="9" t="inlineStr"/>
    </row>
    <row r="30">
      <c r="A30" s="7" t="inlineStr">
        <is>
          <t>INV-026</t>
        </is>
      </c>
      <c r="B30" s="7" t="inlineStr">
        <is>
          <t>El Higado de Prometeo</t>
        </is>
      </c>
      <c r="C30" s="7" t="inlineStr">
        <is>
          <t>Jorge Bustos</t>
        </is>
      </c>
      <c r="D30" s="9" t="inlineStr">
        <is>
          <t>SÍ</t>
        </is>
      </c>
      <c r="E30" s="9" t="inlineStr">
        <is>
          <t>ACEPTADO</t>
        </is>
      </c>
      <c r="F30" s="9" t="inlineStr"/>
      <c r="G30" s="9" t="inlineStr"/>
      <c r="H30" s="9" t="inlineStr"/>
      <c r="I30" s="9" t="inlineStr"/>
    </row>
    <row r="31">
      <c r="A31" s="7" t="inlineStr">
        <is>
          <t>CH-016</t>
        </is>
      </c>
      <c r="B31" s="7" t="inlineStr">
        <is>
          <t>El joven Moriarty y la planta carnivora</t>
        </is>
      </c>
      <c r="C31" s="7" t="inlineStr">
        <is>
          <t>Rhei Sofía</t>
        </is>
      </c>
      <c r="D31" s="9" t="inlineStr">
        <is>
          <t>SÍ</t>
        </is>
      </c>
      <c r="E31" s="9" t="inlineStr">
        <is>
          <t>ACEPTADO</t>
        </is>
      </c>
      <c r="F31" s="9" t="inlineStr"/>
      <c r="G31" s="9" t="inlineStr"/>
      <c r="H31" s="9" t="inlineStr"/>
      <c r="I31" s="9" t="inlineStr"/>
    </row>
    <row r="32">
      <c r="A32" s="7" t="inlineStr">
        <is>
          <t>INV-033</t>
        </is>
      </c>
      <c r="B32" s="7" t="inlineStr">
        <is>
          <t>El Llano en Llamas</t>
        </is>
      </c>
      <c r="C32" s="7" t="inlineStr">
        <is>
          <t>Juan Rulfo</t>
        </is>
      </c>
      <c r="D32" s="9" t="inlineStr">
        <is>
          <t>SÍ</t>
        </is>
      </c>
      <c r="E32" s="9" t="inlineStr">
        <is>
          <t>ACEPTADO</t>
        </is>
      </c>
      <c r="F32" s="9" t="inlineStr"/>
      <c r="G32" s="9" t="inlineStr"/>
      <c r="H32" s="9" t="inlineStr"/>
      <c r="I32" s="9" t="inlineStr"/>
    </row>
    <row r="33">
      <c r="A33" s="7" t="inlineStr">
        <is>
          <t>INV-019</t>
        </is>
      </c>
      <c r="B33" s="7" t="inlineStr">
        <is>
          <t>El Lobo y los Siete Cabritos</t>
        </is>
      </c>
      <c r="C33" s="7" t="inlineStr">
        <is>
          <t>Christine NÖstlinger</t>
        </is>
      </c>
      <c r="D33" s="9" t="inlineStr">
        <is>
          <t>SÍ</t>
        </is>
      </c>
      <c r="E33" s="9" t="inlineStr">
        <is>
          <t>ACEPTADO</t>
        </is>
      </c>
      <c r="F33" s="9" t="inlineStr"/>
      <c r="G33" s="9" t="inlineStr"/>
      <c r="H33" s="9" t="inlineStr"/>
      <c r="I33" s="9" t="inlineStr"/>
    </row>
    <row r="34">
      <c r="A34" s="7" t="inlineStr">
        <is>
          <t>INV-025</t>
        </is>
      </c>
      <c r="B34" s="7" t="inlineStr">
        <is>
          <t>El Manuscrito Encontrado en Accra</t>
        </is>
      </c>
      <c r="C34" s="7" t="inlineStr">
        <is>
          <t>Paulo Coelho</t>
        </is>
      </c>
      <c r="D34" s="9" t="inlineStr">
        <is>
          <t>SÍ</t>
        </is>
      </c>
      <c r="E34" s="9" t="inlineStr">
        <is>
          <t>ACEPTADO</t>
        </is>
      </c>
      <c r="F34" s="9" t="inlineStr"/>
      <c r="G34" s="9" t="inlineStr"/>
      <c r="H34" s="9" t="inlineStr"/>
      <c r="I34" s="9" t="inlineStr"/>
    </row>
    <row r="35">
      <c r="A35" s="7" t="inlineStr">
        <is>
          <t>INV-011</t>
        </is>
      </c>
      <c r="B35" s="7" t="inlineStr">
        <is>
          <t>El Mejor Poema del Mundo 2026</t>
        </is>
      </c>
      <c r="C35" s="7" t="inlineStr">
        <is>
          <t>Celia Corral Cañas</t>
        </is>
      </c>
      <c r="D35" s="9" t="inlineStr">
        <is>
          <t>SÍ</t>
        </is>
      </c>
      <c r="E35" s="9" t="inlineStr">
        <is>
          <t>ACEPTADO</t>
        </is>
      </c>
      <c r="F35" s="9" t="inlineStr"/>
      <c r="G35" s="9" t="inlineStr"/>
      <c r="H35" s="9" t="inlineStr"/>
      <c r="I35" s="9" t="inlineStr"/>
    </row>
    <row r="36">
      <c r="A36" s="7" t="inlineStr">
        <is>
          <t>INV-024</t>
        </is>
      </c>
      <c r="B36" s="7" t="inlineStr">
        <is>
          <t>El Paisaje de una Amistad</t>
        </is>
      </c>
      <c r="C36" s="7" t="inlineStr">
        <is>
          <t>Angel Esteban, Stephanie Panichelli</t>
        </is>
      </c>
      <c r="D36" s="9" t="inlineStr">
        <is>
          <t>SÍ</t>
        </is>
      </c>
      <c r="E36" s="9" t="inlineStr">
        <is>
          <t>ACEPTADO</t>
        </is>
      </c>
      <c r="F36" s="9" t="inlineStr"/>
      <c r="G36" s="9" t="inlineStr"/>
      <c r="H36" s="9" t="inlineStr"/>
      <c r="I36" s="9" t="inlineStr"/>
    </row>
    <row r="37">
      <c r="A37" s="7" t="inlineStr">
        <is>
          <t>INV-010</t>
        </is>
      </c>
      <c r="B37" s="7" t="inlineStr">
        <is>
          <t>El Quinto Dragon</t>
        </is>
      </c>
      <c r="C37" s="7" t="inlineStr">
        <is>
          <t>Paulina Aguilar Gutierrez</t>
        </is>
      </c>
      <c r="D37" s="9" t="inlineStr">
        <is>
          <t>SÍ</t>
        </is>
      </c>
      <c r="E37" s="9" t="inlineStr">
        <is>
          <t>ACEPTADO</t>
        </is>
      </c>
      <c r="F37" s="9" t="inlineStr"/>
      <c r="G37" s="9" t="inlineStr"/>
      <c r="H37" s="9" t="inlineStr"/>
      <c r="I37" s="9" t="inlineStr"/>
    </row>
    <row r="38">
      <c r="A38" s="7" t="inlineStr">
        <is>
          <t>INV-020</t>
        </is>
      </c>
      <c r="B38" s="7" t="inlineStr">
        <is>
          <t>El Refugio de Poder Olvidar</t>
        </is>
      </c>
      <c r="C38" s="7" t="inlineStr">
        <is>
          <t>Maria Cristina Ocampo de Manzano</t>
        </is>
      </c>
      <c r="D38" s="9" t="inlineStr">
        <is>
          <t>SÍ</t>
        </is>
      </c>
      <c r="E38" s="9" t="inlineStr">
        <is>
          <t>ACEPTADO</t>
        </is>
      </c>
      <c r="F38" s="9" t="inlineStr"/>
      <c r="G38" s="9" t="inlineStr"/>
      <c r="H38" s="9" t="inlineStr"/>
      <c r="I38" s="9" t="inlineStr"/>
    </row>
    <row r="39">
      <c r="A39" s="7" t="inlineStr">
        <is>
          <t>INV-043</t>
        </is>
      </c>
      <c r="B39" s="7" t="inlineStr">
        <is>
          <t>El Tunel</t>
        </is>
      </c>
      <c r="C39" s="7" t="inlineStr">
        <is>
          <t>Ernesto Sabato</t>
        </is>
      </c>
      <c r="D39" s="9" t="inlineStr">
        <is>
          <t>SÍ</t>
        </is>
      </c>
      <c r="E39" s="9" t="inlineStr">
        <is>
          <t>ACEPTADO</t>
        </is>
      </c>
      <c r="F39" s="9" t="inlineStr"/>
      <c r="G39" s="9" t="inlineStr"/>
      <c r="H39" s="9" t="inlineStr"/>
      <c r="I39" s="9" t="inlineStr"/>
    </row>
    <row r="40">
      <c r="A40" s="7" t="inlineStr">
        <is>
          <t>INV-039</t>
        </is>
      </c>
      <c r="B40" s="7" t="inlineStr">
        <is>
          <t>El Viejo y El Mar</t>
        </is>
      </c>
      <c r="C40" s="7" t="inlineStr">
        <is>
          <t>Ernest Hemingway</t>
        </is>
      </c>
      <c r="D40" s="9" t="inlineStr">
        <is>
          <t>SÍ</t>
        </is>
      </c>
      <c r="E40" s="9" t="inlineStr">
        <is>
          <t>ACEPTADO</t>
        </is>
      </c>
      <c r="F40" s="9" t="inlineStr"/>
      <c r="G40" s="9" t="inlineStr"/>
      <c r="H40" s="9" t="inlineStr"/>
      <c r="I40" s="9" t="inlineStr"/>
    </row>
    <row r="41">
      <c r="A41" s="7" t="inlineStr">
        <is>
          <t>CH-013</t>
        </is>
      </c>
      <c r="B41" s="7" t="inlineStr">
        <is>
          <t>Emilio</t>
        </is>
      </c>
      <c r="C41" s="7" t="inlineStr">
        <is>
          <t>Castilla Julia M.</t>
        </is>
      </c>
      <c r="D41" s="9" t="inlineStr">
        <is>
          <t>SÍ</t>
        </is>
      </c>
      <c r="E41" s="9" t="inlineStr">
        <is>
          <t>ACEPTADO</t>
        </is>
      </c>
      <c r="F41" s="9" t="inlineStr"/>
      <c r="G41" s="9" t="inlineStr"/>
      <c r="H41" s="9" t="inlineStr"/>
      <c r="I41" s="9" t="inlineStr"/>
    </row>
    <row r="42">
      <c r="A42" s="7" t="inlineStr">
        <is>
          <t>INV-008</t>
        </is>
      </c>
      <c r="B42" s="7" t="inlineStr">
        <is>
          <t>En busca del Equilibrio</t>
        </is>
      </c>
      <c r="C42" s="7" t="inlineStr">
        <is>
          <t>Wayne Dyer</t>
        </is>
      </c>
      <c r="D42" s="9" t="inlineStr">
        <is>
          <t>SÍ</t>
        </is>
      </c>
      <c r="E42" s="9" t="inlineStr">
        <is>
          <t>ACEPTADO</t>
        </is>
      </c>
      <c r="F42" s="9" t="inlineStr"/>
      <c r="G42" s="9" t="inlineStr"/>
      <c r="H42" s="9" t="inlineStr"/>
      <c r="I42" s="9" t="inlineStr"/>
    </row>
    <row r="43">
      <c r="A43" s="7" t="inlineStr">
        <is>
          <t>INV-012</t>
        </is>
      </c>
      <c r="B43" s="7" t="inlineStr">
        <is>
          <t>Entre Pecas y Lentejas</t>
        </is>
      </c>
      <c r="C43" s="7" t="inlineStr">
        <is>
          <t>Elena Dreser</t>
        </is>
      </c>
      <c r="D43" s="9" t="inlineStr">
        <is>
          <t>SÍ</t>
        </is>
      </c>
      <c r="E43" s="9" t="inlineStr">
        <is>
          <t>ACEPTADO</t>
        </is>
      </c>
      <c r="F43" s="9" t="inlineStr"/>
      <c r="G43" s="9" t="inlineStr"/>
      <c r="H43" s="9" t="inlineStr"/>
      <c r="I43" s="9" t="inlineStr"/>
    </row>
    <row r="44">
      <c r="A44" s="7" t="inlineStr">
        <is>
          <t>INV-047</t>
        </is>
      </c>
      <c r="B44" s="7" t="inlineStr">
        <is>
          <t>Foto Estudio Corazon</t>
        </is>
      </c>
      <c r="C44" s="7" t="inlineStr">
        <is>
          <t>Maria Fernanda Heredia</t>
        </is>
      </c>
      <c r="D44" s="9" t="inlineStr">
        <is>
          <t>SÍ</t>
        </is>
      </c>
      <c r="E44" s="9" t="inlineStr">
        <is>
          <t>ACEPTADO</t>
        </is>
      </c>
      <c r="F44" s="9" t="inlineStr"/>
      <c r="G44" s="9" t="inlineStr"/>
      <c r="H44" s="9" t="inlineStr"/>
      <c r="I44" s="9" t="inlineStr"/>
    </row>
    <row r="45">
      <c r="A45" s="7" t="inlineStr">
        <is>
          <t>INV-001</t>
        </is>
      </c>
      <c r="B45" s="7" t="inlineStr">
        <is>
          <t>Habitos Atomicos</t>
        </is>
      </c>
      <c r="C45" s="7" t="inlineStr">
        <is>
          <t>James Clear</t>
        </is>
      </c>
      <c r="D45" s="9" t="inlineStr">
        <is>
          <t>SÍ</t>
        </is>
      </c>
      <c r="E45" s="9" t="inlineStr">
        <is>
          <t>ACEPTADO</t>
        </is>
      </c>
      <c r="F45" s="9" t="inlineStr"/>
      <c r="G45" s="9" t="inlineStr"/>
      <c r="H45" s="9" t="inlineStr"/>
      <c r="I45" s="9" t="inlineStr"/>
    </row>
    <row r="46">
      <c r="A46" s="7" t="inlineStr">
        <is>
          <t>INV-060</t>
        </is>
      </c>
      <c r="B46" s="7" t="inlineStr">
        <is>
          <t>Hija de la Fortuna</t>
        </is>
      </c>
      <c r="C46" s="7" t="inlineStr">
        <is>
          <t>Isabel Allende</t>
        </is>
      </c>
      <c r="D46" s="9" t="inlineStr">
        <is>
          <t>SÍ</t>
        </is>
      </c>
      <c r="E46" s="9" t="inlineStr">
        <is>
          <t>ACEPTADO</t>
        </is>
      </c>
      <c r="F46" s="9" t="inlineStr"/>
      <c r="G46" s="9" t="inlineStr"/>
      <c r="H46" s="9" t="inlineStr"/>
      <c r="I46" s="9" t="inlineStr"/>
    </row>
    <row r="47">
      <c r="A47" s="7" t="inlineStr">
        <is>
          <t>INV-058</t>
        </is>
      </c>
      <c r="B47" s="7" t="inlineStr">
        <is>
          <t>Juramneto Gitano</t>
        </is>
      </c>
      <c r="C47" s="7" t="inlineStr">
        <is>
          <t>Marianamatilde Rodriguez Jaime</t>
        </is>
      </c>
      <c r="D47" s="9" t="inlineStr">
        <is>
          <t>SÍ</t>
        </is>
      </c>
      <c r="E47" s="9" t="inlineStr">
        <is>
          <t>ACEPTADO</t>
        </is>
      </c>
      <c r="F47" s="9" t="inlineStr"/>
      <c r="G47" s="9" t="inlineStr"/>
      <c r="H47" s="9" t="inlineStr"/>
      <c r="I47" s="9" t="inlineStr"/>
    </row>
    <row r="48">
      <c r="A48" s="7" t="inlineStr">
        <is>
          <t>INV-040</t>
        </is>
      </c>
      <c r="B48" s="7" t="inlineStr">
        <is>
          <t>La Barca Sin Pescador Siete Gritos en el Mar</t>
        </is>
      </c>
      <c r="C48" s="7" t="inlineStr">
        <is>
          <t>Alejandro Casona</t>
        </is>
      </c>
      <c r="D48" s="9" t="inlineStr">
        <is>
          <t>SÍ</t>
        </is>
      </c>
      <c r="E48" s="9" t="inlineStr">
        <is>
          <t>ACEPTADO</t>
        </is>
      </c>
      <c r="F48" s="9" t="inlineStr"/>
      <c r="G48" s="9" t="inlineStr"/>
      <c r="H48" s="9" t="inlineStr"/>
      <c r="I48" s="9" t="inlineStr"/>
    </row>
    <row r="49">
      <c r="A49" s="7" t="inlineStr">
        <is>
          <t>INV-059</t>
        </is>
      </c>
      <c r="B49" s="7" t="inlineStr">
        <is>
          <t>La Carta, La Pocima y el Tesoro</t>
        </is>
      </c>
      <c r="C49" s="7" t="inlineStr">
        <is>
          <t>N/A</t>
        </is>
      </c>
      <c r="D49" s="9" t="inlineStr">
        <is>
          <t>SÍ</t>
        </is>
      </c>
      <c r="E49" s="9" t="inlineStr">
        <is>
          <t>ACEPTADO</t>
        </is>
      </c>
      <c r="F49" s="9" t="inlineStr"/>
      <c r="G49" s="9" t="inlineStr"/>
      <c r="H49" s="9" t="inlineStr"/>
      <c r="I49" s="9" t="inlineStr"/>
    </row>
    <row r="50">
      <c r="A50" s="7" t="inlineStr">
        <is>
          <t>INV-016</t>
        </is>
      </c>
      <c r="B50" s="7" t="inlineStr">
        <is>
          <t>La Celestina</t>
        </is>
      </c>
      <c r="C50" s="7" t="inlineStr">
        <is>
          <t>Fernando de Rojas</t>
        </is>
      </c>
      <c r="D50" s="9" t="inlineStr">
        <is>
          <t>SÍ</t>
        </is>
      </c>
      <c r="E50" s="9" t="inlineStr">
        <is>
          <t>ACEPTADO</t>
        </is>
      </c>
      <c r="F50" s="9" t="inlineStr"/>
      <c r="G50" s="9" t="inlineStr"/>
      <c r="H50" s="9" t="inlineStr"/>
      <c r="I50" s="9" t="inlineStr"/>
    </row>
    <row r="51">
      <c r="A51" s="7" t="inlineStr">
        <is>
          <t>INV-042</t>
        </is>
      </c>
      <c r="B51" s="7" t="inlineStr">
        <is>
          <t>La Celestina</t>
        </is>
      </c>
      <c r="C51" s="7" t="inlineStr">
        <is>
          <t>Fernando de Rojas</t>
        </is>
      </c>
      <c r="D51" s="9" t="inlineStr">
        <is>
          <t>SÍ</t>
        </is>
      </c>
      <c r="E51" s="9" t="inlineStr">
        <is>
          <t>ACEPTADO</t>
        </is>
      </c>
      <c r="F51" s="9" t="inlineStr"/>
      <c r="G51" s="9" t="inlineStr"/>
      <c r="H51" s="9" t="inlineStr"/>
      <c r="I51" s="9" t="inlineStr"/>
    </row>
    <row r="52">
      <c r="A52" s="7" t="inlineStr">
        <is>
          <t>CH-001</t>
        </is>
      </c>
      <c r="B52" s="7" t="inlineStr">
        <is>
          <t>La ciudad de mis dolientes</t>
        </is>
      </c>
      <c r="C52" s="7" t="inlineStr">
        <is>
          <t>Adalberto Mieles Gómez</t>
        </is>
      </c>
      <c r="D52" s="9" t="inlineStr">
        <is>
          <t>SÍ</t>
        </is>
      </c>
      <c r="E52" s="9" t="inlineStr">
        <is>
          <t>ACEPTADO</t>
        </is>
      </c>
      <c r="F52" s="9" t="inlineStr"/>
      <c r="G52" s="9" t="inlineStr"/>
      <c r="H52" s="9" t="inlineStr"/>
      <c r="I52" s="9" t="inlineStr"/>
    </row>
    <row r="53">
      <c r="A53" s="7" t="inlineStr">
        <is>
          <t>INV-061</t>
        </is>
      </c>
      <c r="B53" s="7" t="inlineStr">
        <is>
          <t>La ciudad de mis dolientes</t>
        </is>
      </c>
      <c r="C53" s="7" t="inlineStr">
        <is>
          <t>Adalberto Mieles Gómez</t>
        </is>
      </c>
      <c r="D53" s="9" t="inlineStr">
        <is>
          <t>SÍ</t>
        </is>
      </c>
      <c r="E53" s="9" t="inlineStr">
        <is>
          <t>ACEPTADO</t>
        </is>
      </c>
      <c r="F53" s="9" t="inlineStr"/>
      <c r="G53" s="9" t="inlineStr"/>
      <c r="H53" s="9" t="inlineStr"/>
      <c r="I53" s="9" t="inlineStr"/>
    </row>
    <row r="54">
      <c r="A54" s="7" t="inlineStr">
        <is>
          <t>INV-022</t>
        </is>
      </c>
      <c r="B54" s="7" t="inlineStr">
        <is>
          <t>La Nueva Tierra</t>
        </is>
      </c>
      <c r="C54" s="7" t="inlineStr">
        <is>
          <t>Jordi Sierra i Fabra</t>
        </is>
      </c>
      <c r="D54" s="9" t="inlineStr">
        <is>
          <t>SÍ</t>
        </is>
      </c>
      <c r="E54" s="9" t="inlineStr">
        <is>
          <t>ACEPTADO</t>
        </is>
      </c>
      <c r="F54" s="9" t="inlineStr"/>
      <c r="G54" s="9" t="inlineStr"/>
      <c r="H54" s="9" t="inlineStr"/>
      <c r="I54" s="9" t="inlineStr"/>
    </row>
    <row r="55">
      <c r="A55" s="7" t="inlineStr">
        <is>
          <t>INV-014</t>
        </is>
      </c>
      <c r="B55" s="7" t="inlineStr">
        <is>
          <t>La Odisea</t>
        </is>
      </c>
      <c r="C55" s="7" t="inlineStr">
        <is>
          <t>Homero</t>
        </is>
      </c>
      <c r="D55" s="9" t="inlineStr">
        <is>
          <t>SÍ</t>
        </is>
      </c>
      <c r="E55" s="9" t="inlineStr">
        <is>
          <t>ACEPTADO</t>
        </is>
      </c>
      <c r="F55" s="9" t="inlineStr"/>
      <c r="G55" s="9" t="inlineStr"/>
      <c r="H55" s="9" t="inlineStr"/>
      <c r="I55" s="9" t="inlineStr"/>
    </row>
    <row r="56">
      <c r="A56" s="7" t="inlineStr">
        <is>
          <t>CH-004</t>
        </is>
      </c>
      <c r="B56" s="7" t="inlineStr">
        <is>
          <t>La revelacion de la Decima</t>
        </is>
      </c>
      <c r="C56" s="7" t="inlineStr">
        <is>
          <t>Zora Silvera Dany</t>
        </is>
      </c>
      <c r="D56" s="9" t="inlineStr">
        <is>
          <t>SÍ</t>
        </is>
      </c>
      <c r="E56" s="9" t="inlineStr">
        <is>
          <t>ACEPTADO</t>
        </is>
      </c>
      <c r="F56" s="9" t="inlineStr"/>
      <c r="G56" s="9" t="inlineStr"/>
      <c r="H56" s="9" t="inlineStr"/>
      <c r="I56" s="9" t="inlineStr"/>
    </row>
    <row r="57">
      <c r="A57" s="7" t="inlineStr">
        <is>
          <t>INV-064</t>
        </is>
      </c>
      <c r="B57" s="7" t="inlineStr">
        <is>
          <t>La revelacion de la Decima</t>
        </is>
      </c>
      <c r="C57" s="7" t="inlineStr">
        <is>
          <t>Dany Zora Silvera</t>
        </is>
      </c>
      <c r="D57" s="9" t="inlineStr">
        <is>
          <t>SÍ</t>
        </is>
      </c>
      <c r="E57" s="9" t="inlineStr">
        <is>
          <t>ACEPTADO</t>
        </is>
      </c>
      <c r="F57" s="9" t="inlineStr"/>
      <c r="G57" s="9" t="inlineStr"/>
      <c r="H57" s="9" t="inlineStr"/>
      <c r="I57" s="9" t="inlineStr"/>
    </row>
    <row r="58">
      <c r="A58" s="7" t="inlineStr">
        <is>
          <t>INV-028</t>
        </is>
      </c>
      <c r="B58" s="7" t="inlineStr">
        <is>
          <t>Las Estrellas son Negras</t>
        </is>
      </c>
      <c r="C58" s="7" t="inlineStr">
        <is>
          <t>Arnoldo Palacios</t>
        </is>
      </c>
      <c r="D58" s="9" t="inlineStr">
        <is>
          <t>SÍ</t>
        </is>
      </c>
      <c r="E58" s="9" t="inlineStr">
        <is>
          <t>ACEPTADO</t>
        </is>
      </c>
      <c r="F58" s="9" t="inlineStr"/>
      <c r="G58" s="9" t="inlineStr"/>
      <c r="H58" s="9" t="inlineStr"/>
      <c r="I58" s="9" t="inlineStr"/>
    </row>
    <row r="59">
      <c r="A59" s="7" t="inlineStr">
        <is>
          <t>INV-030</t>
        </is>
      </c>
      <c r="B59" s="7" t="inlineStr">
        <is>
          <t>Las Mujeres del Quijote</t>
        </is>
      </c>
      <c r="C59" s="7" t="inlineStr">
        <is>
          <t>Miguel de Cervantes Saavedra</t>
        </is>
      </c>
      <c r="D59" s="9" t="inlineStr">
        <is>
          <t>SÍ</t>
        </is>
      </c>
      <c r="E59" s="9" t="inlineStr">
        <is>
          <t>ACEPTADO</t>
        </is>
      </c>
      <c r="F59" s="9" t="inlineStr"/>
      <c r="G59" s="9" t="inlineStr"/>
      <c r="H59" s="9" t="inlineStr"/>
      <c r="I59" s="9" t="inlineStr"/>
    </row>
    <row r="60">
      <c r="A60" s="7" t="inlineStr">
        <is>
          <t>INV-031</t>
        </is>
      </c>
      <c r="B60" s="7" t="inlineStr">
        <is>
          <t>Las Mujeres del Quijote</t>
        </is>
      </c>
      <c r="C60" s="7" t="inlineStr">
        <is>
          <t>Miguel de Cervantes Saavedra</t>
        </is>
      </c>
      <c r="D60" s="9" t="inlineStr">
        <is>
          <t>SÍ</t>
        </is>
      </c>
      <c r="E60" s="9" t="inlineStr">
        <is>
          <t>ACEPTADO</t>
        </is>
      </c>
      <c r="F60" s="9" t="inlineStr"/>
      <c r="G60" s="9" t="inlineStr"/>
      <c r="H60" s="9" t="inlineStr"/>
      <c r="I60" s="9" t="inlineStr"/>
    </row>
    <row r="61">
      <c r="A61" s="7" t="inlineStr">
        <is>
          <t>INV-038</t>
        </is>
      </c>
      <c r="B61" s="7" t="inlineStr">
        <is>
          <t>Lazarillo de Tormes</t>
        </is>
      </c>
      <c r="C61" s="7" t="inlineStr">
        <is>
          <t>Anonimo</t>
        </is>
      </c>
      <c r="D61" s="9" t="inlineStr">
        <is>
          <t>SÍ</t>
        </is>
      </c>
      <c r="E61" s="9" t="inlineStr">
        <is>
          <t>ACEPTADO</t>
        </is>
      </c>
      <c r="F61" s="9" t="inlineStr"/>
      <c r="G61" s="9" t="inlineStr"/>
      <c r="H61" s="9" t="inlineStr"/>
      <c r="I61" s="9" t="inlineStr"/>
    </row>
    <row r="62">
      <c r="A62" s="7" t="inlineStr">
        <is>
          <t>INV-048</t>
        </is>
      </c>
      <c r="B62" s="7" t="inlineStr">
        <is>
          <t>Leyendas, Narraciones y Cuentos del Caribe Colombiano</t>
        </is>
      </c>
      <c r="C62" s="7" t="inlineStr">
        <is>
          <t>Martin Orozco Cantillo</t>
        </is>
      </c>
      <c r="D62" s="9" t="inlineStr">
        <is>
          <t>SÍ</t>
        </is>
      </c>
      <c r="E62" s="9" t="inlineStr">
        <is>
          <t>ACEPTADO</t>
        </is>
      </c>
      <c r="F62" s="9" t="inlineStr"/>
      <c r="G62" s="9" t="inlineStr"/>
      <c r="H62" s="9" t="inlineStr"/>
      <c r="I62" s="9" t="inlineStr"/>
    </row>
    <row r="63">
      <c r="A63" s="7" t="inlineStr">
        <is>
          <t>CH-014</t>
        </is>
      </c>
      <c r="B63" s="7" t="inlineStr">
        <is>
          <t>Los Frágiles</t>
        </is>
      </c>
      <c r="C63" s="7" t="inlineStr">
        <is>
          <t>Roumiguiére Cécile</t>
        </is>
      </c>
      <c r="D63" s="9" t="inlineStr">
        <is>
          <t>SÍ</t>
        </is>
      </c>
      <c r="E63" s="9" t="inlineStr">
        <is>
          <t>ACEPTADO</t>
        </is>
      </c>
      <c r="F63" s="9" t="inlineStr"/>
      <c r="G63" s="9" t="inlineStr"/>
      <c r="H63" s="9" t="inlineStr"/>
      <c r="I63" s="9" t="inlineStr"/>
    </row>
    <row r="64">
      <c r="A64" s="7" t="inlineStr">
        <is>
          <t>CH-009</t>
        </is>
      </c>
      <c r="B64" s="7" t="inlineStr">
        <is>
          <t>Los Pargos Azules</t>
        </is>
      </c>
      <c r="C64" s="7" t="inlineStr">
        <is>
          <t>Corujo Elena</t>
        </is>
      </c>
      <c r="D64" s="9" t="inlineStr">
        <is>
          <t>SÍ</t>
        </is>
      </c>
      <c r="E64" s="9" t="inlineStr">
        <is>
          <t>ACEPTADO</t>
        </is>
      </c>
      <c r="F64" s="9" t="inlineStr"/>
      <c r="G64" s="9" t="inlineStr"/>
      <c r="H64" s="9" t="inlineStr"/>
      <c r="I64" s="9" t="inlineStr"/>
    </row>
    <row r="65">
      <c r="A65" s="7" t="inlineStr">
        <is>
          <t>INV-006</t>
        </is>
      </c>
      <c r="B65" s="7" t="inlineStr">
        <is>
          <t>Los Siete Pasos Hacia el Amor</t>
        </is>
      </c>
      <c r="C65" s="7" t="inlineStr">
        <is>
          <t>Dalai Lama</t>
        </is>
      </c>
      <c r="D65" s="9" t="inlineStr">
        <is>
          <t>SÍ</t>
        </is>
      </c>
      <c r="E65" s="9" t="inlineStr">
        <is>
          <t>ACEPTADO</t>
        </is>
      </c>
      <c r="F65" s="9" t="inlineStr"/>
      <c r="G65" s="9" t="inlineStr"/>
      <c r="H65" s="9" t="inlineStr"/>
      <c r="I65" s="9" t="inlineStr"/>
    </row>
    <row r="66">
      <c r="A66" s="7" t="inlineStr">
        <is>
          <t>CH-012</t>
        </is>
      </c>
      <c r="B66" s="7" t="inlineStr">
        <is>
          <t>Los vecinos mueren en las Novelas</t>
        </is>
      </c>
      <c r="C66" s="7" t="inlineStr">
        <is>
          <t>Aguirre Sergio</t>
        </is>
      </c>
      <c r="D66" s="9" t="inlineStr">
        <is>
          <t>SÍ</t>
        </is>
      </c>
      <c r="E66" s="9" t="inlineStr">
        <is>
          <t>ACEPTADO</t>
        </is>
      </c>
      <c r="F66" s="9" t="inlineStr"/>
      <c r="G66" s="9" t="inlineStr"/>
      <c r="H66" s="9" t="inlineStr"/>
      <c r="I66" s="9" t="inlineStr"/>
    </row>
    <row r="67">
      <c r="A67" s="7" t="inlineStr">
        <is>
          <t>INV-003</t>
        </is>
      </c>
      <c r="B67" s="7" t="inlineStr">
        <is>
          <t>Magdalena</t>
        </is>
      </c>
      <c r="C67" s="7" t="inlineStr">
        <is>
          <t>Wade Davis</t>
        </is>
      </c>
      <c r="D67" s="9" t="inlineStr">
        <is>
          <t>SÍ</t>
        </is>
      </c>
      <c r="E67" s="9" t="inlineStr">
        <is>
          <t>ACEPTADO</t>
        </is>
      </c>
      <c r="F67" s="9" t="inlineStr"/>
      <c r="G67" s="9" t="inlineStr"/>
      <c r="H67" s="9" t="inlineStr"/>
      <c r="I67" s="9" t="inlineStr"/>
    </row>
    <row r="68">
      <c r="A68" s="7" t="inlineStr">
        <is>
          <t>CH-006</t>
        </is>
      </c>
      <c r="B68" s="7" t="inlineStr">
        <is>
          <t>Memorias de un acoso gris</t>
        </is>
      </c>
      <c r="C68" s="7" t="inlineStr">
        <is>
          <t>Prieto Urina Carlos Daniel</t>
        </is>
      </c>
      <c r="D68" s="9" t="inlineStr">
        <is>
          <t>SÍ</t>
        </is>
      </c>
      <c r="E68" s="9" t="inlineStr">
        <is>
          <t>ACEPTADO</t>
        </is>
      </c>
      <c r="F68" s="9" t="inlineStr"/>
      <c r="G68" s="9" t="inlineStr"/>
      <c r="H68" s="9" t="inlineStr"/>
      <c r="I68" s="9" t="inlineStr"/>
    </row>
    <row r="69">
      <c r="A69" s="7" t="inlineStr">
        <is>
          <t>INV-066</t>
        </is>
      </c>
      <c r="B69" s="7" t="inlineStr">
        <is>
          <t>Memorias de un acoso gris</t>
        </is>
      </c>
      <c r="C69" s="7" t="inlineStr">
        <is>
          <t>Carlos Daniel Prieto Urina</t>
        </is>
      </c>
      <c r="D69" s="9" t="inlineStr">
        <is>
          <t>SÍ</t>
        </is>
      </c>
      <c r="E69" s="9" t="inlineStr">
        <is>
          <t>ACEPTADO</t>
        </is>
      </c>
      <c r="F69" s="9" t="inlineStr"/>
      <c r="G69" s="9" t="inlineStr"/>
      <c r="H69" s="9" t="inlineStr"/>
      <c r="I69" s="9" t="inlineStr"/>
    </row>
    <row r="70">
      <c r="A70" s="7" t="inlineStr">
        <is>
          <t>INV-032</t>
        </is>
      </c>
      <c r="B70" s="7" t="inlineStr">
        <is>
          <t>Mujeres que Aman Demasiado</t>
        </is>
      </c>
      <c r="C70" s="7" t="inlineStr">
        <is>
          <t>Robin Norwood</t>
        </is>
      </c>
      <c r="D70" s="9" t="inlineStr">
        <is>
          <t>SÍ</t>
        </is>
      </c>
      <c r="E70" s="9" t="inlineStr">
        <is>
          <t>ACEPTADO</t>
        </is>
      </c>
      <c r="F70" s="9" t="inlineStr"/>
      <c r="G70" s="9" t="inlineStr"/>
      <c r="H70" s="9" t="inlineStr"/>
      <c r="I70" s="9" t="inlineStr"/>
    </row>
    <row r="71">
      <c r="A71" s="7" t="inlineStr">
        <is>
          <t>INV-041</t>
        </is>
      </c>
      <c r="B71" s="7" t="inlineStr">
        <is>
          <t>Nacho Chichones</t>
        </is>
      </c>
      <c r="C71" s="7" t="inlineStr">
        <is>
          <t>Gonzalo Maure Trenor</t>
        </is>
      </c>
      <c r="D71" s="9" t="inlineStr">
        <is>
          <t>SÍ</t>
        </is>
      </c>
      <c r="E71" s="9" t="inlineStr">
        <is>
          <t>ACEPTADO</t>
        </is>
      </c>
      <c r="F71" s="9" t="inlineStr"/>
      <c r="G71" s="9" t="inlineStr"/>
      <c r="H71" s="9" t="inlineStr"/>
      <c r="I71" s="9" t="inlineStr"/>
    </row>
    <row r="72">
      <c r="A72" s="7" t="inlineStr">
        <is>
          <t>INV-037</t>
        </is>
      </c>
      <c r="B72" s="7" t="inlineStr">
        <is>
          <t>Noches Blancas</t>
        </is>
      </c>
      <c r="C72" s="7" t="inlineStr">
        <is>
          <t>Fiodor Dostoyevski</t>
        </is>
      </c>
      <c r="D72" s="9" t="inlineStr">
        <is>
          <t>SÍ</t>
        </is>
      </c>
      <c r="E72" s="9" t="inlineStr">
        <is>
          <t>ACEPTADO</t>
        </is>
      </c>
      <c r="F72" s="9" t="inlineStr"/>
      <c r="G72" s="9" t="inlineStr"/>
      <c r="H72" s="9" t="inlineStr"/>
      <c r="I72" s="9" t="inlineStr"/>
    </row>
    <row r="73">
      <c r="A73" s="7" t="inlineStr">
        <is>
          <t>INV-051</t>
        </is>
      </c>
      <c r="B73" s="7" t="inlineStr">
        <is>
          <t>Obra Poetica</t>
        </is>
      </c>
      <c r="C73" s="7" t="inlineStr">
        <is>
          <t>Largion Barros de la Hoz</t>
        </is>
      </c>
      <c r="D73" s="9" t="inlineStr">
        <is>
          <t>SÍ</t>
        </is>
      </c>
      <c r="E73" s="9" t="inlineStr">
        <is>
          <t>ACEPTADO</t>
        </is>
      </c>
      <c r="F73" s="9" t="inlineStr"/>
      <c r="G73" s="9" t="inlineStr"/>
      <c r="H73" s="9" t="inlineStr"/>
      <c r="I73" s="9" t="inlineStr"/>
    </row>
    <row r="74">
      <c r="A74" s="7" t="inlineStr">
        <is>
          <t>INV-055</t>
        </is>
      </c>
      <c r="B74" s="7" t="inlineStr">
        <is>
          <t>PinceladasCuentisticas</t>
        </is>
      </c>
      <c r="C74" s="7" t="inlineStr">
        <is>
          <t>Alvaro Miranda Villalobos</t>
        </is>
      </c>
      <c r="D74" s="9" t="inlineStr">
        <is>
          <t>SÍ</t>
        </is>
      </c>
      <c r="E74" s="9" t="inlineStr">
        <is>
          <t>ACEPTADO</t>
        </is>
      </c>
      <c r="F74" s="9" t="inlineStr"/>
      <c r="G74" s="9" t="inlineStr"/>
      <c r="H74" s="9" t="inlineStr"/>
      <c r="I74" s="9" t="inlineStr"/>
    </row>
    <row r="75">
      <c r="A75" s="7" t="inlineStr">
        <is>
          <t>INV-015</t>
        </is>
      </c>
      <c r="B75" s="7" t="inlineStr">
        <is>
          <t>Poema de Alio Cio</t>
        </is>
      </c>
      <c r="C75" s="7" t="inlineStr">
        <is>
          <t>Anonimo</t>
        </is>
      </c>
      <c r="D75" s="9" t="inlineStr">
        <is>
          <t>SÍ</t>
        </is>
      </c>
      <c r="E75" s="9" t="inlineStr">
        <is>
          <t>ACEPTADO</t>
        </is>
      </c>
      <c r="F75" s="9" t="inlineStr"/>
      <c r="G75" s="9" t="inlineStr"/>
      <c r="H75" s="9" t="inlineStr"/>
      <c r="I75" s="9" t="inlineStr"/>
    </row>
    <row r="76">
      <c r="A76" s="7" t="inlineStr">
        <is>
          <t>CH-015</t>
        </is>
      </c>
      <c r="B76" s="7" t="inlineStr">
        <is>
          <t>Por Amor</t>
        </is>
      </c>
      <c r="C76" s="7" t="inlineStr">
        <is>
          <t>Mc Combie Karen</t>
        </is>
      </c>
      <c r="D76" s="9" t="inlineStr">
        <is>
          <t>SÍ</t>
        </is>
      </c>
      <c r="E76" s="9" t="inlineStr">
        <is>
          <t>ACEPTADO</t>
        </is>
      </c>
      <c r="F76" s="9" t="inlineStr"/>
      <c r="G76" s="9" t="inlineStr"/>
      <c r="H76" s="9" t="inlineStr"/>
      <c r="I76" s="9" t="inlineStr"/>
    </row>
    <row r="77">
      <c r="A77" s="7" t="inlineStr">
        <is>
          <t>INV-017</t>
        </is>
      </c>
      <c r="B77" s="7" t="inlineStr">
        <is>
          <t>Por Culpa de una S</t>
        </is>
      </c>
      <c r="C77" s="7" t="inlineStr">
        <is>
          <t>Cristina Rebull</t>
        </is>
      </c>
      <c r="D77" s="9" t="inlineStr">
        <is>
          <t>SÍ</t>
        </is>
      </c>
      <c r="E77" s="9" t="inlineStr">
        <is>
          <t>ACEPTADO</t>
        </is>
      </c>
      <c r="F77" s="9" t="inlineStr"/>
      <c r="G77" s="9" t="inlineStr"/>
      <c r="H77" s="9" t="inlineStr"/>
      <c r="I77" s="9" t="inlineStr"/>
    </row>
    <row r="78">
      <c r="A78" s="7" t="inlineStr">
        <is>
          <t>CH-010</t>
        </is>
      </c>
      <c r="B78" s="7" t="inlineStr">
        <is>
          <t>Por favor , Vuelve a casa</t>
        </is>
      </c>
      <c r="C78" s="7" t="inlineStr">
        <is>
          <t>Nostlinger Christine</t>
        </is>
      </c>
      <c r="D78" s="9" t="inlineStr">
        <is>
          <t>SÍ</t>
        </is>
      </c>
      <c r="E78" s="9" t="inlineStr">
        <is>
          <t>ACEPTADO</t>
        </is>
      </c>
      <c r="F78" s="9" t="inlineStr"/>
      <c r="G78" s="9" t="inlineStr"/>
      <c r="H78" s="9" t="inlineStr"/>
      <c r="I78" s="9" t="inlineStr"/>
    </row>
    <row r="79">
      <c r="A79" s="7" t="inlineStr">
        <is>
          <t>INV-002</t>
        </is>
      </c>
      <c r="B79" s="7" t="inlineStr">
        <is>
          <t>Precuela Antes de Ella</t>
        </is>
      </c>
      <c r="C79" s="7" t="inlineStr">
        <is>
          <t>Flor Salvador</t>
        </is>
      </c>
      <c r="D79" s="9" t="inlineStr">
        <is>
          <t>SÍ</t>
        </is>
      </c>
      <c r="E79" s="9" t="inlineStr">
        <is>
          <t>ACEPTADO</t>
        </is>
      </c>
      <c r="F79" s="9" t="inlineStr"/>
      <c r="G79" s="9" t="inlineStr"/>
      <c r="H79" s="9" t="inlineStr"/>
      <c r="I79" s="9" t="inlineStr"/>
    </row>
    <row r="80">
      <c r="A80" s="7" t="inlineStr">
        <is>
          <t>INV-052</t>
        </is>
      </c>
      <c r="B80" s="7" t="inlineStr">
        <is>
          <t>¿Quien se ha Llevado mi Queso?</t>
        </is>
      </c>
      <c r="C80" s="7" t="inlineStr">
        <is>
          <t>Spencer Johnson</t>
        </is>
      </c>
      <c r="D80" s="9" t="inlineStr">
        <is>
          <t>SÍ</t>
        </is>
      </c>
      <c r="E80" s="9" t="inlineStr">
        <is>
          <t>ACEPTADO</t>
        </is>
      </c>
      <c r="F80" s="9" t="inlineStr"/>
      <c r="G80" s="9" t="inlineStr"/>
      <c r="H80" s="9" t="inlineStr"/>
      <c r="I80" s="9" t="inlineStr"/>
    </row>
    <row r="81">
      <c r="A81" s="7" t="inlineStr">
        <is>
          <t>CH-017</t>
        </is>
      </c>
      <c r="B81" s="7" t="inlineStr">
        <is>
          <t>Relato de un Náufrago</t>
        </is>
      </c>
      <c r="C81" s="7" t="inlineStr">
        <is>
          <t>García Márquez Gabriel</t>
        </is>
      </c>
      <c r="D81" s="9" t="inlineStr">
        <is>
          <t>SÍ</t>
        </is>
      </c>
      <c r="E81" s="9" t="inlineStr">
        <is>
          <t>ACEPTADO</t>
        </is>
      </c>
      <c r="F81" s="9" t="inlineStr"/>
      <c r="G81" s="9" t="inlineStr"/>
      <c r="H81" s="9" t="inlineStr"/>
      <c r="I81" s="9" t="inlineStr"/>
    </row>
    <row r="82">
      <c r="A82" s="7" t="inlineStr">
        <is>
          <t>INV-018</t>
        </is>
      </c>
      <c r="B82" s="7" t="inlineStr">
        <is>
          <t>Relato de un Naufrago</t>
        </is>
      </c>
      <c r="C82" s="7" t="inlineStr">
        <is>
          <t>Gabriel Garcia Marquez</t>
        </is>
      </c>
      <c r="D82" s="9" t="inlineStr">
        <is>
          <t>SÍ</t>
        </is>
      </c>
      <c r="E82" s="9" t="inlineStr">
        <is>
          <t>ACEPTADO</t>
        </is>
      </c>
      <c r="F82" s="9" t="inlineStr"/>
      <c r="G82" s="9" t="inlineStr"/>
      <c r="H82" s="9" t="inlineStr"/>
      <c r="I82" s="9" t="inlineStr"/>
    </row>
    <row r="83">
      <c r="A83" s="7" t="inlineStr">
        <is>
          <t>INV-034</t>
        </is>
      </c>
      <c r="B83" s="7" t="inlineStr">
        <is>
          <t>Sea su Propio Jefe</t>
        </is>
      </c>
      <c r="C83" s="7" t="inlineStr">
        <is>
          <t>N/A</t>
        </is>
      </c>
      <c r="D83" s="9" t="inlineStr">
        <is>
          <t>SÍ</t>
        </is>
      </c>
      <c r="E83" s="9" t="inlineStr">
        <is>
          <t>ACEPTADO</t>
        </is>
      </c>
      <c r="F83" s="9" t="inlineStr"/>
      <c r="G83" s="9" t="inlineStr"/>
      <c r="H83" s="9" t="inlineStr"/>
      <c r="I83" s="9" t="inlineStr"/>
    </row>
    <row r="84">
      <c r="A84" s="7" t="inlineStr">
        <is>
          <t>INV-046</t>
        </is>
      </c>
      <c r="B84" s="7" t="inlineStr">
        <is>
          <t>Toby</t>
        </is>
      </c>
      <c r="C84" s="7" t="inlineStr">
        <is>
          <t>Graciela Cabal</t>
        </is>
      </c>
      <c r="D84" s="9" t="inlineStr">
        <is>
          <t>SÍ</t>
        </is>
      </c>
      <c r="E84" s="9" t="inlineStr">
        <is>
          <t>ACEPTADO</t>
        </is>
      </c>
      <c r="F84" s="9" t="inlineStr"/>
      <c r="G84" s="9" t="inlineStr"/>
      <c r="H84" s="9" t="inlineStr"/>
      <c r="I84" s="9" t="inlineStr"/>
    </row>
    <row r="85">
      <c r="A85" s="7" t="inlineStr">
        <is>
          <t>INV-036</t>
        </is>
      </c>
      <c r="B85" s="7" t="inlineStr">
        <is>
          <t>Veinte Poemas de Amor y una Cancion Desesperada</t>
        </is>
      </c>
      <c r="C85" s="7" t="inlineStr">
        <is>
          <t>Pablo Neruda</t>
        </is>
      </c>
      <c r="D85" s="9" t="inlineStr">
        <is>
          <t>SÍ</t>
        </is>
      </c>
      <c r="E85" s="9" t="inlineStr">
        <is>
          <t>ACEPTADO</t>
        </is>
      </c>
      <c r="F85" s="9" t="inlineStr"/>
      <c r="G85" s="9" t="inlineStr"/>
      <c r="H85" s="9" t="inlineStr"/>
      <c r="I85" s="9" t="inlineStr"/>
    </row>
  </sheetData>
  <autoFilter ref="A1:I85"/>
  <dataValidations count="2">
    <dataValidation sqref="D2:D85" showDropDown="0" showInputMessage="0" showErrorMessage="1" allowBlank="1" errorTitle="Valor no válido" error="Selecciona SÍ o NO." type="list">
      <formula1>"SÍ,NO"</formula1>
    </dataValidation>
    <dataValidation sqref="E2:E85" showDropDown="0" showInputMessage="0" showErrorMessage="1" allowBlank="1" errorTitle="Valor no válido" error="Selecciona PENDIENTE, ACEPTADO o RECHAZADO." type="list">
      <formula1>"PENDIENTE,ACEPTADO,RECHAZADO"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32" customWidth="1" min="3" max="3"/>
    <col width="24" customWidth="1" min="4" max="4"/>
    <col width="16" customWidth="1" min="5" max="5"/>
    <col width="10" customWidth="1" min="6" max="6"/>
    <col width="18" customWidth="1" min="7" max="7"/>
    <col width="42" customWidth="1" min="8" max="8"/>
    <col width="12" customWidth="1" min="9" max="9"/>
  </cols>
  <sheetData>
    <row r="1" ht="30" customHeight="1">
      <c r="A1" s="6" t="inlineStr">
        <is>
          <t>ID_BIBLIOGRAFICO</t>
        </is>
      </c>
      <c r="B1" s="6" t="inlineStr">
        <is>
          <t>TITULO</t>
        </is>
      </c>
      <c r="C1" s="6" t="inlineStr">
        <is>
          <t>AUTOR</t>
        </is>
      </c>
      <c r="D1" s="6" t="inlineStr">
        <is>
          <t>EDITORIAL</t>
        </is>
      </c>
      <c r="E1" s="6" t="inlineStr">
        <is>
          <t>ISBN</t>
        </is>
      </c>
      <c r="F1" s="6" t="inlineStr">
        <is>
          <t>COPIAS</t>
        </is>
      </c>
      <c r="G1" s="6" t="inlineStr">
        <is>
          <t>FUENTES</t>
        </is>
      </c>
      <c r="H1" s="6" t="inlineStr">
        <is>
          <t>IDS_EJEMPLARES</t>
        </is>
      </c>
      <c r="I1" s="6" t="inlineStr">
        <is>
          <t>DUPLICADO</t>
        </is>
      </c>
    </row>
    <row r="2">
      <c r="A2" s="7" t="inlineStr">
        <is>
          <t>BIB-001</t>
        </is>
      </c>
      <c r="B2" s="7" t="inlineStr">
        <is>
          <t>Acompañada, pero a solas con la vida</t>
        </is>
      </c>
      <c r="C2" s="7" t="inlineStr">
        <is>
          <t>Johana Brewne Kelly</t>
        </is>
      </c>
      <c r="D2" s="7" t="inlineStr">
        <is>
          <t>San Barbara</t>
        </is>
      </c>
      <c r="E2" s="7" t="inlineStr">
        <is>
          <t>9789585810358</t>
        </is>
      </c>
      <c r="F2" s="7" t="n">
        <v>2</v>
      </c>
      <c r="G2" s="7" t="inlineStr">
        <is>
          <t>CH, INVENTARIO</t>
        </is>
      </c>
      <c r="H2" s="7" t="inlineStr">
        <is>
          <t>INV-063, CH-003</t>
        </is>
      </c>
      <c r="I2" s="7" t="inlineStr">
        <is>
          <t>SÍ</t>
        </is>
      </c>
    </row>
    <row r="3">
      <c r="A3" s="7" t="inlineStr">
        <is>
          <t>BIB-002</t>
        </is>
      </c>
      <c r="B3" s="7" t="inlineStr">
        <is>
          <t>Bailando con Lobos</t>
        </is>
      </c>
      <c r="C3" s="7" t="inlineStr">
        <is>
          <t>Michael Blake</t>
        </is>
      </c>
      <c r="D3" s="7" t="inlineStr">
        <is>
          <t>RBA</t>
        </is>
      </c>
      <c r="E3" s="7" t="inlineStr"/>
      <c r="F3" s="7" t="n">
        <v>1</v>
      </c>
      <c r="G3" s="7" t="inlineStr">
        <is>
          <t>INVENTARIO</t>
        </is>
      </c>
      <c r="H3" s="7" t="inlineStr">
        <is>
          <t>INV-053</t>
        </is>
      </c>
      <c r="I3" s="7" t="inlineStr">
        <is>
          <t>NO</t>
        </is>
      </c>
    </row>
    <row r="4">
      <c r="A4" s="7" t="inlineStr">
        <is>
          <t>BIB-003</t>
        </is>
      </c>
      <c r="B4" s="7" t="inlineStr">
        <is>
          <t>Bajo la Luna de Mayo</t>
        </is>
      </c>
      <c r="C4" s="7" t="inlineStr">
        <is>
          <t>Gerardo Meneses</t>
        </is>
      </c>
      <c r="D4" s="7" t="inlineStr">
        <is>
          <t>Norma</t>
        </is>
      </c>
      <c r="E4" s="7" t="inlineStr"/>
      <c r="F4" s="7" t="n">
        <v>1</v>
      </c>
      <c r="G4" s="7" t="inlineStr">
        <is>
          <t>INVENTARIO</t>
        </is>
      </c>
      <c r="H4" s="7" t="inlineStr">
        <is>
          <t>INV-009</t>
        </is>
      </c>
      <c r="I4" s="7" t="inlineStr">
        <is>
          <t>NO</t>
        </is>
      </c>
    </row>
    <row r="5">
      <c r="A5" s="7" t="inlineStr">
        <is>
          <t>BIB-004</t>
        </is>
      </c>
      <c r="B5" s="7" t="inlineStr">
        <is>
          <t>Bajo la Misma Estrella</t>
        </is>
      </c>
      <c r="C5" s="7" t="inlineStr">
        <is>
          <t>John Green</t>
        </is>
      </c>
      <c r="D5" s="7" t="inlineStr">
        <is>
          <t>N/E</t>
        </is>
      </c>
      <c r="E5" s="7" t="inlineStr"/>
      <c r="F5" s="7" t="n">
        <v>1</v>
      </c>
      <c r="G5" s="7" t="inlineStr">
        <is>
          <t>INVENTARIO</t>
        </is>
      </c>
      <c r="H5" s="7" t="inlineStr">
        <is>
          <t>INV-049</t>
        </is>
      </c>
      <c r="I5" s="7" t="inlineStr">
        <is>
          <t>NO</t>
        </is>
      </c>
    </row>
    <row r="6">
      <c r="A6" s="7" t="inlineStr">
        <is>
          <t>BIB-005</t>
        </is>
      </c>
      <c r="B6" s="7" t="inlineStr">
        <is>
          <t>Boulevard</t>
        </is>
      </c>
      <c r="C6" s="7" t="inlineStr">
        <is>
          <t>Flor Salvador</t>
        </is>
      </c>
      <c r="D6" s="7" t="inlineStr">
        <is>
          <t>Naranja</t>
        </is>
      </c>
      <c r="E6" s="7" t="inlineStr"/>
      <c r="F6" s="7" t="n">
        <v>1</v>
      </c>
      <c r="G6" s="7" t="inlineStr">
        <is>
          <t>INVENTARIO</t>
        </is>
      </c>
      <c r="H6" s="7" t="inlineStr">
        <is>
          <t>INV-027</t>
        </is>
      </c>
      <c r="I6" s="7" t="inlineStr">
        <is>
          <t>NO</t>
        </is>
      </c>
    </row>
    <row r="7">
      <c r="A7" s="7" t="inlineStr">
        <is>
          <t>BIB-006</t>
        </is>
      </c>
      <c r="B7" s="7" t="inlineStr">
        <is>
          <t>Chat Natacha Chat</t>
        </is>
      </c>
      <c r="C7" s="7" t="inlineStr">
        <is>
          <t>Luis Maria Pescetti</t>
        </is>
      </c>
      <c r="D7" s="7" t="inlineStr">
        <is>
          <t>Alfaguara Juvenil</t>
        </is>
      </c>
      <c r="E7" s="7" t="inlineStr"/>
      <c r="F7" s="7" t="n">
        <v>1</v>
      </c>
      <c r="G7" s="7" t="inlineStr">
        <is>
          <t>INVENTARIO</t>
        </is>
      </c>
      <c r="H7" s="7" t="inlineStr">
        <is>
          <t>INV-044</t>
        </is>
      </c>
      <c r="I7" s="7" t="inlineStr">
        <is>
          <t>NO</t>
        </is>
      </c>
    </row>
    <row r="8">
      <c r="A8" s="7" t="inlineStr">
        <is>
          <t>BIB-007</t>
        </is>
      </c>
      <c r="B8" s="7" t="inlineStr">
        <is>
          <t>¿Chicos de la Calle o Trabajo Chico?</t>
        </is>
      </c>
      <c r="C8" s="7" t="inlineStr">
        <is>
          <t>Jose Manuel Grima, Alicia le Fur</t>
        </is>
      </c>
      <c r="D8" s="7" t="inlineStr">
        <is>
          <t>Lumen Hymanitas</t>
        </is>
      </c>
      <c r="E8" s="7" t="inlineStr"/>
      <c r="F8" s="7" t="n">
        <v>1</v>
      </c>
      <c r="G8" s="7" t="inlineStr">
        <is>
          <t>INVENTARIO</t>
        </is>
      </c>
      <c r="H8" s="7" t="inlineStr">
        <is>
          <t>INV-056</t>
        </is>
      </c>
      <c r="I8" s="7" t="inlineStr">
        <is>
          <t>NO</t>
        </is>
      </c>
    </row>
    <row r="9">
      <c r="A9" s="7" t="inlineStr">
        <is>
          <t>BIB-008</t>
        </is>
      </c>
      <c r="B9" s="7" t="inlineStr">
        <is>
          <t>Cien Años de Soledad</t>
        </is>
      </c>
      <c r="C9" s="7" t="inlineStr">
        <is>
          <t>Gabriel Garcia Marquez</t>
        </is>
      </c>
      <c r="D9" s="7" t="inlineStr">
        <is>
          <t>Norma</t>
        </is>
      </c>
      <c r="E9" s="7" t="inlineStr"/>
      <c r="F9" s="7" t="n">
        <v>1</v>
      </c>
      <c r="G9" s="7" t="inlineStr">
        <is>
          <t>INVENTARIO</t>
        </is>
      </c>
      <c r="H9" s="7" t="inlineStr">
        <is>
          <t>INV-029</t>
        </is>
      </c>
      <c r="I9" s="7" t="inlineStr">
        <is>
          <t>NO</t>
        </is>
      </c>
    </row>
    <row r="10">
      <c r="A10" s="7" t="inlineStr">
        <is>
          <t>BIB-009</t>
        </is>
      </c>
      <c r="B10" s="7" t="inlineStr">
        <is>
          <t>Con el alma en la mano</t>
        </is>
      </c>
      <c r="C10" s="7" t="inlineStr">
        <is>
          <t>Perret Gentil Beatriz</t>
        </is>
      </c>
      <c r="D10" s="7" t="inlineStr">
        <is>
          <t>San Barbara</t>
        </is>
      </c>
      <c r="E10" s="7" t="inlineStr">
        <is>
          <t>9789585837515</t>
        </is>
      </c>
      <c r="F10" s="7" t="n">
        <v>2</v>
      </c>
      <c r="G10" s="7" t="inlineStr">
        <is>
          <t>CH, INVENTARIO</t>
        </is>
      </c>
      <c r="H10" s="7" t="inlineStr">
        <is>
          <t>INV-062, CH-002</t>
        </is>
      </c>
      <c r="I10" s="7" t="inlineStr">
        <is>
          <t>SÍ</t>
        </is>
      </c>
    </row>
    <row r="11">
      <c r="A11" s="7" t="inlineStr">
        <is>
          <t>BIB-010</t>
        </is>
      </c>
      <c r="B11" s="7" t="inlineStr">
        <is>
          <t>Conversaciones con Dios</t>
        </is>
      </c>
      <c r="C11" s="7" t="inlineStr">
        <is>
          <t>Neale Donald</t>
        </is>
      </c>
      <c r="D11" s="7" t="inlineStr">
        <is>
          <t>Debolsillo</t>
        </is>
      </c>
      <c r="E11" s="7" t="inlineStr"/>
      <c r="F11" s="7" t="n">
        <v>1</v>
      </c>
      <c r="G11" s="7" t="inlineStr">
        <is>
          <t>INVENTARIO</t>
        </is>
      </c>
      <c r="H11" s="7" t="inlineStr">
        <is>
          <t>INV-007</t>
        </is>
      </c>
      <c r="I11" s="7" t="inlineStr">
        <is>
          <t>NO</t>
        </is>
      </c>
    </row>
    <row r="12">
      <c r="A12" s="7" t="inlineStr">
        <is>
          <t>BIB-011</t>
        </is>
      </c>
      <c r="B12" s="7" t="inlineStr">
        <is>
          <t>Cronicas de una Muerte Anunciada</t>
        </is>
      </c>
      <c r="C12" s="7" t="inlineStr">
        <is>
          <t>Gabriel Garcia Marquez</t>
        </is>
      </c>
      <c r="D12" s="7" t="inlineStr">
        <is>
          <t>N/E</t>
        </is>
      </c>
      <c r="E12" s="7" t="inlineStr"/>
      <c r="F12" s="7" t="n">
        <v>1</v>
      </c>
      <c r="G12" s="7" t="inlineStr">
        <is>
          <t>INVENTARIO</t>
        </is>
      </c>
      <c r="H12" s="7" t="inlineStr">
        <is>
          <t>INV-050</t>
        </is>
      </c>
      <c r="I12" s="7" t="inlineStr">
        <is>
          <t>NO</t>
        </is>
      </c>
    </row>
    <row r="13">
      <c r="A13" s="7" t="inlineStr">
        <is>
          <t>BIB-012</t>
        </is>
      </c>
      <c r="B13" s="7" t="inlineStr">
        <is>
          <t>Cuando despierte el viento</t>
        </is>
      </c>
      <c r="C13" s="7" t="inlineStr">
        <is>
          <t>Heredia Maria F.</t>
        </is>
      </c>
      <c r="D13" s="7" t="inlineStr">
        <is>
          <t>Norma</t>
        </is>
      </c>
      <c r="E13" s="7" t="inlineStr">
        <is>
          <t>9789580009658</t>
        </is>
      </c>
      <c r="F13" s="7" t="n">
        <v>1</v>
      </c>
      <c r="G13" s="7" t="inlineStr">
        <is>
          <t>CH</t>
        </is>
      </c>
      <c r="H13" s="7" t="inlineStr">
        <is>
          <t>CH-008</t>
        </is>
      </c>
      <c r="I13" s="7" t="inlineStr">
        <is>
          <t>NO</t>
        </is>
      </c>
    </row>
    <row r="14">
      <c r="A14" s="7" t="inlineStr">
        <is>
          <t>BIB-013</t>
        </is>
      </c>
      <c r="B14" s="7" t="inlineStr">
        <is>
          <t>Cumbia Soul</t>
        </is>
      </c>
      <c r="C14" s="7" t="inlineStr">
        <is>
          <t>Maria T. Balogh</t>
        </is>
      </c>
      <c r="D14" s="7" t="inlineStr">
        <is>
          <t>Cool Way Press</t>
        </is>
      </c>
      <c r="E14" s="7" t="inlineStr">
        <is>
          <t>9780990972914</t>
        </is>
      </c>
      <c r="F14" s="7" t="n">
        <v>2</v>
      </c>
      <c r="G14" s="7" t="inlineStr">
        <is>
          <t>CH, INVENTARIO</t>
        </is>
      </c>
      <c r="H14" s="7" t="inlineStr">
        <is>
          <t>INV-067, CH-007</t>
        </is>
      </c>
      <c r="I14" s="7" t="inlineStr">
        <is>
          <t>SÍ</t>
        </is>
      </c>
    </row>
    <row r="15">
      <c r="A15" s="7" t="inlineStr">
        <is>
          <t>BIB-014</t>
        </is>
      </c>
      <c r="B15" s="7" t="inlineStr">
        <is>
          <t>De Rejas y Amor</t>
        </is>
      </c>
      <c r="C15" s="7" t="inlineStr">
        <is>
          <t>Barreira Maria Arturo</t>
        </is>
      </c>
      <c r="D15" s="7" t="inlineStr">
        <is>
          <t>San Barbara</t>
        </is>
      </c>
      <c r="E15" s="7" t="inlineStr">
        <is>
          <t>9789585837591</t>
        </is>
      </c>
      <c r="F15" s="7" t="n">
        <v>2</v>
      </c>
      <c r="G15" s="7" t="inlineStr">
        <is>
          <t>CH, INVENTARIO</t>
        </is>
      </c>
      <c r="H15" s="7" t="inlineStr">
        <is>
          <t>INV-065, CH-005</t>
        </is>
      </c>
      <c r="I15" s="7" t="inlineStr">
        <is>
          <t>SÍ</t>
        </is>
      </c>
    </row>
    <row r="16">
      <c r="A16" s="7" t="inlineStr">
        <is>
          <t>BIB-015</t>
        </is>
      </c>
      <c r="B16" s="7" t="inlineStr">
        <is>
          <t>Del Secuestro y Otras Muertes</t>
        </is>
      </c>
      <c r="C16" s="7" t="inlineStr">
        <is>
          <t>Camilo Romero</t>
        </is>
      </c>
      <c r="D16" s="7" t="inlineStr">
        <is>
          <t>Intermedio</t>
        </is>
      </c>
      <c r="E16" s="7" t="inlineStr"/>
      <c r="F16" s="7" t="n">
        <v>1</v>
      </c>
      <c r="G16" s="7" t="inlineStr">
        <is>
          <t>INVENTARIO</t>
        </is>
      </c>
      <c r="H16" s="7" t="inlineStr">
        <is>
          <t>INV-023</t>
        </is>
      </c>
      <c r="I16" s="7" t="inlineStr">
        <is>
          <t>NO</t>
        </is>
      </c>
    </row>
    <row r="17">
      <c r="A17" s="7" t="inlineStr">
        <is>
          <t>BIB-016</t>
        </is>
      </c>
      <c r="B17" s="7" t="inlineStr">
        <is>
          <t>Despues de el. Secuela</t>
        </is>
      </c>
      <c r="C17" s="7" t="inlineStr">
        <is>
          <t>Flor Salvador</t>
        </is>
      </c>
      <c r="D17" s="7" t="inlineStr">
        <is>
          <t>N/E</t>
        </is>
      </c>
      <c r="E17" s="7" t="inlineStr"/>
      <c r="F17" s="7" t="n">
        <v>1</v>
      </c>
      <c r="G17" s="7" t="inlineStr">
        <is>
          <t>INVENTARIO</t>
        </is>
      </c>
      <c r="H17" s="7" t="inlineStr">
        <is>
          <t>INV-004</t>
        </is>
      </c>
      <c r="I17" s="7" t="inlineStr">
        <is>
          <t>NO</t>
        </is>
      </c>
    </row>
    <row r="18">
      <c r="A18" s="7" t="inlineStr">
        <is>
          <t>BIB-017</t>
        </is>
      </c>
      <c r="B18" s="7" t="inlineStr">
        <is>
          <t>Duespues del Funeral</t>
        </is>
      </c>
      <c r="C18" s="7" t="inlineStr">
        <is>
          <t>Agatha Christie</t>
        </is>
      </c>
      <c r="D18" s="7" t="inlineStr">
        <is>
          <t>Circulo de Lectores</t>
        </is>
      </c>
      <c r="E18" s="7" t="inlineStr"/>
      <c r="F18" s="7" t="n">
        <v>1</v>
      </c>
      <c r="G18" s="7" t="inlineStr">
        <is>
          <t>INVENTARIO</t>
        </is>
      </c>
      <c r="H18" s="7" t="inlineStr">
        <is>
          <t>INV-054</t>
        </is>
      </c>
      <c r="I18" s="7" t="inlineStr">
        <is>
          <t>NO</t>
        </is>
      </c>
    </row>
    <row r="19">
      <c r="A19" s="7" t="inlineStr">
        <is>
          <t>BIB-018</t>
        </is>
      </c>
      <c r="B19" s="7" t="inlineStr">
        <is>
          <t>El Abrazo</t>
        </is>
      </c>
      <c r="C19" s="7" t="inlineStr">
        <is>
          <t>Bojunga Lygia</t>
        </is>
      </c>
      <c r="D19" s="7" t="inlineStr">
        <is>
          <t>Norma</t>
        </is>
      </c>
      <c r="E19" s="7" t="inlineStr">
        <is>
          <t>9789580471578</t>
        </is>
      </c>
      <c r="F19" s="7" t="n">
        <v>1</v>
      </c>
      <c r="G19" s="7" t="inlineStr">
        <is>
          <t>CH</t>
        </is>
      </c>
      <c r="H19" s="7" t="inlineStr">
        <is>
          <t>CH-011</t>
        </is>
      </c>
      <c r="I19" s="7" t="inlineStr">
        <is>
          <t>NO</t>
        </is>
      </c>
    </row>
    <row r="20">
      <c r="A20" s="7" t="inlineStr">
        <is>
          <t>BIB-019</t>
        </is>
      </c>
      <c r="B20" s="7" t="inlineStr">
        <is>
          <t>El Alquimista</t>
        </is>
      </c>
      <c r="C20" s="7" t="inlineStr">
        <is>
          <t>Paulo Coelho</t>
        </is>
      </c>
      <c r="D20" s="7" t="inlineStr">
        <is>
          <t>N/E</t>
        </is>
      </c>
      <c r="E20" s="7" t="inlineStr"/>
      <c r="F20" s="7" t="n">
        <v>1</v>
      </c>
      <c r="G20" s="7" t="inlineStr">
        <is>
          <t>INVENTARIO</t>
        </is>
      </c>
      <c r="H20" s="7" t="inlineStr">
        <is>
          <t>INV-013</t>
        </is>
      </c>
      <c r="I20" s="7" t="inlineStr">
        <is>
          <t>NO</t>
        </is>
      </c>
    </row>
    <row r="21">
      <c r="A21" s="7" t="inlineStr">
        <is>
          <t>BIB-020</t>
        </is>
      </c>
      <c r="B21" s="7" t="inlineStr">
        <is>
          <t>El Camino de la Felicidad</t>
        </is>
      </c>
      <c r="C21" s="7" t="inlineStr">
        <is>
          <t>Jorge Bucay</t>
        </is>
      </c>
      <c r="D21" s="7" t="inlineStr">
        <is>
          <t>Debolsillo</t>
        </is>
      </c>
      <c r="E21" s="7" t="inlineStr"/>
      <c r="F21" s="7" t="n">
        <v>1</v>
      </c>
      <c r="G21" s="7" t="inlineStr">
        <is>
          <t>INVENTARIO</t>
        </is>
      </c>
      <c r="H21" s="7" t="inlineStr">
        <is>
          <t>INV-005</t>
        </is>
      </c>
      <c r="I21" s="7" t="inlineStr">
        <is>
          <t>NO</t>
        </is>
      </c>
    </row>
    <row r="22">
      <c r="A22" s="7" t="inlineStr">
        <is>
          <t>BIB-021</t>
        </is>
      </c>
      <c r="B22" s="7" t="inlineStr">
        <is>
          <t>El Cuaderno de Notas de Miguel</t>
        </is>
      </c>
      <c r="C22" s="7" t="inlineStr">
        <is>
          <t>Pedro Conrado Cudriz</t>
        </is>
      </c>
      <c r="D22" s="7" t="inlineStr">
        <is>
          <t>Sibila</t>
        </is>
      </c>
      <c r="E22" s="7" t="inlineStr"/>
      <c r="F22" s="7" t="n">
        <v>1</v>
      </c>
      <c r="G22" s="7" t="inlineStr">
        <is>
          <t>INVENTARIO</t>
        </is>
      </c>
      <c r="H22" s="7" t="inlineStr">
        <is>
          <t>INV-021</t>
        </is>
      </c>
      <c r="I22" s="7" t="inlineStr">
        <is>
          <t>NO</t>
        </is>
      </c>
    </row>
    <row r="23">
      <c r="A23" s="7" t="inlineStr">
        <is>
          <t>BIB-022</t>
        </is>
      </c>
      <c r="B23" s="7" t="inlineStr">
        <is>
          <t>El Dia del Odio</t>
        </is>
      </c>
      <c r="C23" s="7" t="inlineStr">
        <is>
          <t>Osorio Lizarazo</t>
        </is>
      </c>
      <c r="D23" s="7" t="inlineStr">
        <is>
          <t>N/E</t>
        </is>
      </c>
      <c r="E23" s="7" t="inlineStr"/>
      <c r="F23" s="7" t="n">
        <v>1</v>
      </c>
      <c r="G23" s="7" t="inlineStr">
        <is>
          <t>INVENTARIO</t>
        </is>
      </c>
      <c r="H23" s="7" t="inlineStr">
        <is>
          <t>INV-045</t>
        </is>
      </c>
      <c r="I23" s="7" t="inlineStr">
        <is>
          <t>NO</t>
        </is>
      </c>
    </row>
    <row r="24">
      <c r="A24" s="7" t="inlineStr">
        <is>
          <t>BIB-023</t>
        </is>
      </c>
      <c r="B24" s="7" t="inlineStr">
        <is>
          <t>El Diablo de la Botella</t>
        </is>
      </c>
      <c r="C24" s="7" t="inlineStr">
        <is>
          <t>Robert Louis Stevenson</t>
        </is>
      </c>
      <c r="D24" s="7" t="inlineStr">
        <is>
          <t>Norma</t>
        </is>
      </c>
      <c r="E24" s="7" t="inlineStr"/>
      <c r="F24" s="7" t="n">
        <v>1</v>
      </c>
      <c r="G24" s="7" t="inlineStr">
        <is>
          <t>INVENTARIO</t>
        </is>
      </c>
      <c r="H24" s="7" t="inlineStr">
        <is>
          <t>INV-057</t>
        </is>
      </c>
      <c r="I24" s="7" t="inlineStr">
        <is>
          <t>NO</t>
        </is>
      </c>
    </row>
    <row r="25">
      <c r="A25" s="7" t="inlineStr">
        <is>
          <t>BIB-024</t>
        </is>
      </c>
      <c r="B25" s="7" t="inlineStr">
        <is>
          <t>El Extraño Caso del DR. Jekylly MR. Hyde</t>
        </is>
      </c>
      <c r="C25" s="7" t="inlineStr">
        <is>
          <t>Stevenson</t>
        </is>
      </c>
      <c r="D25" s="7" t="inlineStr">
        <is>
          <t>Norma</t>
        </is>
      </c>
      <c r="E25" s="7" t="inlineStr"/>
      <c r="F25" s="7" t="n">
        <v>1</v>
      </c>
      <c r="G25" s="7" t="inlineStr">
        <is>
          <t>INVENTARIO</t>
        </is>
      </c>
      <c r="H25" s="7" t="inlineStr">
        <is>
          <t>INV-035</t>
        </is>
      </c>
      <c r="I25" s="7" t="inlineStr">
        <is>
          <t>NO</t>
        </is>
      </c>
    </row>
    <row r="26">
      <c r="A26" s="7" t="inlineStr">
        <is>
          <t>BIB-025</t>
        </is>
      </c>
      <c r="B26" s="7" t="inlineStr">
        <is>
          <t>El Higado de Prometeo</t>
        </is>
      </c>
      <c r="C26" s="7" t="inlineStr">
        <is>
          <t>Jorge Bustos</t>
        </is>
      </c>
      <c r="D26" s="7" t="inlineStr">
        <is>
          <t>Nobel</t>
        </is>
      </c>
      <c r="E26" s="7" t="inlineStr"/>
      <c r="F26" s="7" t="n">
        <v>1</v>
      </c>
      <c r="G26" s="7" t="inlineStr">
        <is>
          <t>INVENTARIO</t>
        </is>
      </c>
      <c r="H26" s="7" t="inlineStr">
        <is>
          <t>INV-026</t>
        </is>
      </c>
      <c r="I26" s="7" t="inlineStr">
        <is>
          <t>NO</t>
        </is>
      </c>
    </row>
    <row r="27">
      <c r="A27" s="7" t="inlineStr">
        <is>
          <t>BIB-026</t>
        </is>
      </c>
      <c r="B27" s="7" t="inlineStr">
        <is>
          <t>El joven Moriarty y la planta carnivora</t>
        </is>
      </c>
      <c r="C27" s="7" t="inlineStr">
        <is>
          <t>Rhei Sofía</t>
        </is>
      </c>
      <c r="D27" s="7" t="inlineStr">
        <is>
          <t>Norma</t>
        </is>
      </c>
      <c r="E27" s="7" t="inlineStr">
        <is>
          <t>9789587768114</t>
        </is>
      </c>
      <c r="F27" s="7" t="n">
        <v>1</v>
      </c>
      <c r="G27" s="7" t="inlineStr">
        <is>
          <t>CH</t>
        </is>
      </c>
      <c r="H27" s="7" t="inlineStr">
        <is>
          <t>CH-016</t>
        </is>
      </c>
      <c r="I27" s="7" t="inlineStr">
        <is>
          <t>NO</t>
        </is>
      </c>
    </row>
    <row r="28">
      <c r="A28" s="7" t="inlineStr">
        <is>
          <t>BIB-027</t>
        </is>
      </c>
      <c r="B28" s="7" t="inlineStr">
        <is>
          <t>El Llano en Llamas</t>
        </is>
      </c>
      <c r="C28" s="7" t="inlineStr">
        <is>
          <t>Juan Rulfo</t>
        </is>
      </c>
      <c r="D28" s="7" t="inlineStr">
        <is>
          <t>N/E</t>
        </is>
      </c>
      <c r="E28" s="7" t="inlineStr"/>
      <c r="F28" s="7" t="n">
        <v>1</v>
      </c>
      <c r="G28" s="7" t="inlineStr">
        <is>
          <t>INVENTARIO</t>
        </is>
      </c>
      <c r="H28" s="7" t="inlineStr">
        <is>
          <t>INV-033</t>
        </is>
      </c>
      <c r="I28" s="7" t="inlineStr">
        <is>
          <t>NO</t>
        </is>
      </c>
    </row>
    <row r="29">
      <c r="A29" s="7" t="inlineStr">
        <is>
          <t>BIB-028</t>
        </is>
      </c>
      <c r="B29" s="7" t="inlineStr">
        <is>
          <t>El Lobo y los Siete Cabritos</t>
        </is>
      </c>
      <c r="C29" s="7" t="inlineStr">
        <is>
          <t>Christine NÖstlinger</t>
        </is>
      </c>
      <c r="D29" s="7" t="inlineStr">
        <is>
          <t>Norma</t>
        </is>
      </c>
      <c r="E29" s="7" t="inlineStr"/>
      <c r="F29" s="7" t="n">
        <v>1</v>
      </c>
      <c r="G29" s="7" t="inlineStr">
        <is>
          <t>INVENTARIO</t>
        </is>
      </c>
      <c r="H29" s="7" t="inlineStr">
        <is>
          <t>INV-019</t>
        </is>
      </c>
      <c r="I29" s="7" t="inlineStr">
        <is>
          <t>NO</t>
        </is>
      </c>
    </row>
    <row r="30">
      <c r="A30" s="7" t="inlineStr">
        <is>
          <t>BIB-029</t>
        </is>
      </c>
      <c r="B30" s="7" t="inlineStr">
        <is>
          <t>El Manuscrito Encontrado en Accra</t>
        </is>
      </c>
      <c r="C30" s="7" t="inlineStr">
        <is>
          <t>Paulo Coelho</t>
        </is>
      </c>
      <c r="D30" s="7" t="inlineStr">
        <is>
          <t>Grijalbo</t>
        </is>
      </c>
      <c r="E30" s="7" t="inlineStr"/>
      <c r="F30" s="7" t="n">
        <v>1</v>
      </c>
      <c r="G30" s="7" t="inlineStr">
        <is>
          <t>INVENTARIO</t>
        </is>
      </c>
      <c r="H30" s="7" t="inlineStr">
        <is>
          <t>INV-025</t>
        </is>
      </c>
      <c r="I30" s="7" t="inlineStr">
        <is>
          <t>NO</t>
        </is>
      </c>
    </row>
    <row r="31">
      <c r="A31" s="7" t="inlineStr">
        <is>
          <t>BIB-030</t>
        </is>
      </c>
      <c r="B31" s="7" t="inlineStr">
        <is>
          <t>El Mejor Poema del Mundo 2026</t>
        </is>
      </c>
      <c r="C31" s="7" t="inlineStr">
        <is>
          <t>Celia Corral Cañas</t>
        </is>
      </c>
      <c r="D31" s="7" t="inlineStr">
        <is>
          <t>Ediciones Noel</t>
        </is>
      </c>
      <c r="E31" s="7" t="inlineStr"/>
      <c r="F31" s="7" t="n">
        <v>1</v>
      </c>
      <c r="G31" s="7" t="inlineStr">
        <is>
          <t>INVENTARIO</t>
        </is>
      </c>
      <c r="H31" s="7" t="inlineStr">
        <is>
          <t>INV-011</t>
        </is>
      </c>
      <c r="I31" s="7" t="inlineStr">
        <is>
          <t>NO</t>
        </is>
      </c>
    </row>
    <row r="32">
      <c r="A32" s="7" t="inlineStr">
        <is>
          <t>BIB-031</t>
        </is>
      </c>
      <c r="B32" s="7" t="inlineStr">
        <is>
          <t>El Paisaje de una Amistad</t>
        </is>
      </c>
      <c r="C32" s="7" t="inlineStr">
        <is>
          <t>Angel Esteban, Stephanie Panichelli</t>
        </is>
      </c>
      <c r="D32" s="7" t="inlineStr">
        <is>
          <t>Espasa e Hoy</t>
        </is>
      </c>
      <c r="E32" s="7" t="inlineStr"/>
      <c r="F32" s="7" t="n">
        <v>1</v>
      </c>
      <c r="G32" s="7" t="inlineStr">
        <is>
          <t>INVENTARIO</t>
        </is>
      </c>
      <c r="H32" s="7" t="inlineStr">
        <is>
          <t>INV-024</t>
        </is>
      </c>
      <c r="I32" s="7" t="inlineStr">
        <is>
          <t>NO</t>
        </is>
      </c>
    </row>
    <row r="33">
      <c r="A33" s="7" t="inlineStr">
        <is>
          <t>BIB-032</t>
        </is>
      </c>
      <c r="B33" s="7" t="inlineStr">
        <is>
          <t>El Quinto Dragon</t>
        </is>
      </c>
      <c r="C33" s="7" t="inlineStr">
        <is>
          <t>Paulina Aguilar Gutierrez</t>
        </is>
      </c>
      <c r="D33" s="7" t="inlineStr">
        <is>
          <t>Norma</t>
        </is>
      </c>
      <c r="E33" s="7" t="inlineStr"/>
      <c r="F33" s="7" t="n">
        <v>1</v>
      </c>
      <c r="G33" s="7" t="inlineStr">
        <is>
          <t>INVENTARIO</t>
        </is>
      </c>
      <c r="H33" s="7" t="inlineStr">
        <is>
          <t>INV-010</t>
        </is>
      </c>
      <c r="I33" s="7" t="inlineStr">
        <is>
          <t>NO</t>
        </is>
      </c>
    </row>
    <row r="34">
      <c r="A34" s="7" t="inlineStr">
        <is>
          <t>BIB-033</t>
        </is>
      </c>
      <c r="B34" s="7" t="inlineStr">
        <is>
          <t>El Refugio de Poder Olvidar</t>
        </is>
      </c>
      <c r="C34" s="7" t="inlineStr">
        <is>
          <t>Maria Cristina Ocampo de Manzano</t>
        </is>
      </c>
      <c r="D34" s="7" t="inlineStr">
        <is>
          <t>N/E</t>
        </is>
      </c>
      <c r="E34" s="7" t="inlineStr"/>
      <c r="F34" s="7" t="n">
        <v>1</v>
      </c>
      <c r="G34" s="7" t="inlineStr">
        <is>
          <t>INVENTARIO</t>
        </is>
      </c>
      <c r="H34" s="7" t="inlineStr">
        <is>
          <t>INV-020</t>
        </is>
      </c>
      <c r="I34" s="7" t="inlineStr">
        <is>
          <t>NO</t>
        </is>
      </c>
    </row>
    <row r="35">
      <c r="A35" s="7" t="inlineStr">
        <is>
          <t>BIB-034</t>
        </is>
      </c>
      <c r="B35" s="7" t="inlineStr">
        <is>
          <t>El Tunel</t>
        </is>
      </c>
      <c r="C35" s="7" t="inlineStr">
        <is>
          <t>Ernesto Sabato</t>
        </is>
      </c>
      <c r="D35" s="7" t="inlineStr">
        <is>
          <t>N/E</t>
        </is>
      </c>
      <c r="E35" s="7" t="inlineStr"/>
      <c r="F35" s="7" t="n">
        <v>1</v>
      </c>
      <c r="G35" s="7" t="inlineStr">
        <is>
          <t>INVENTARIO</t>
        </is>
      </c>
      <c r="H35" s="7" t="inlineStr">
        <is>
          <t>INV-043</t>
        </is>
      </c>
      <c r="I35" s="7" t="inlineStr">
        <is>
          <t>NO</t>
        </is>
      </c>
    </row>
    <row r="36">
      <c r="A36" s="7" t="inlineStr">
        <is>
          <t>BIB-035</t>
        </is>
      </c>
      <c r="B36" s="7" t="inlineStr">
        <is>
          <t>El Viejo y El Mar</t>
        </is>
      </c>
      <c r="C36" s="7" t="inlineStr">
        <is>
          <t>Ernest Hemingway</t>
        </is>
      </c>
      <c r="D36" s="7" t="inlineStr">
        <is>
          <t>Atenea</t>
        </is>
      </c>
      <c r="E36" s="7" t="inlineStr"/>
      <c r="F36" s="7" t="n">
        <v>1</v>
      </c>
      <c r="G36" s="7" t="inlineStr">
        <is>
          <t>INVENTARIO</t>
        </is>
      </c>
      <c r="H36" s="7" t="inlineStr">
        <is>
          <t>INV-039</t>
        </is>
      </c>
      <c r="I36" s="7" t="inlineStr">
        <is>
          <t>NO</t>
        </is>
      </c>
    </row>
    <row r="37">
      <c r="A37" s="7" t="inlineStr">
        <is>
          <t>BIB-036</t>
        </is>
      </c>
      <c r="B37" s="7" t="inlineStr">
        <is>
          <t>Emilio</t>
        </is>
      </c>
      <c r="C37" s="7" t="inlineStr">
        <is>
          <t>Castilla Julia M.</t>
        </is>
      </c>
      <c r="D37" s="7" t="inlineStr">
        <is>
          <t>Norma</t>
        </is>
      </c>
      <c r="E37" s="7" t="inlineStr">
        <is>
          <t>9789580441496</t>
        </is>
      </c>
      <c r="F37" s="7" t="n">
        <v>1</v>
      </c>
      <c r="G37" s="7" t="inlineStr">
        <is>
          <t>CH</t>
        </is>
      </c>
      <c r="H37" s="7" t="inlineStr">
        <is>
          <t>CH-013</t>
        </is>
      </c>
      <c r="I37" s="7" t="inlineStr">
        <is>
          <t>NO</t>
        </is>
      </c>
    </row>
    <row r="38">
      <c r="A38" s="7" t="inlineStr">
        <is>
          <t>BIB-037</t>
        </is>
      </c>
      <c r="B38" s="7" t="inlineStr">
        <is>
          <t>En busca del Equilibrio</t>
        </is>
      </c>
      <c r="C38" s="7" t="inlineStr">
        <is>
          <t>Wayne Dyer</t>
        </is>
      </c>
      <c r="D38" s="7" t="inlineStr">
        <is>
          <t>Debolsillo</t>
        </is>
      </c>
      <c r="E38" s="7" t="inlineStr"/>
      <c r="F38" s="7" t="n">
        <v>1</v>
      </c>
      <c r="G38" s="7" t="inlineStr">
        <is>
          <t>INVENTARIO</t>
        </is>
      </c>
      <c r="H38" s="7" t="inlineStr">
        <is>
          <t>INV-008</t>
        </is>
      </c>
      <c r="I38" s="7" t="inlineStr">
        <is>
          <t>NO</t>
        </is>
      </c>
    </row>
    <row r="39">
      <c r="A39" s="7" t="inlineStr">
        <is>
          <t>BIB-038</t>
        </is>
      </c>
      <c r="B39" s="7" t="inlineStr">
        <is>
          <t>Entre Pecas y Lentejas</t>
        </is>
      </c>
      <c r="C39" s="7" t="inlineStr">
        <is>
          <t>Elena Dreser</t>
        </is>
      </c>
      <c r="D39" s="7" t="inlineStr">
        <is>
          <t>Educar</t>
        </is>
      </c>
      <c r="E39" s="7" t="inlineStr"/>
      <c r="F39" s="7" t="n">
        <v>1</v>
      </c>
      <c r="G39" s="7" t="inlineStr">
        <is>
          <t>INVENTARIO</t>
        </is>
      </c>
      <c r="H39" s="7" t="inlineStr">
        <is>
          <t>INV-012</t>
        </is>
      </c>
      <c r="I39" s="7" t="inlineStr">
        <is>
          <t>NO</t>
        </is>
      </c>
    </row>
    <row r="40">
      <c r="A40" s="7" t="inlineStr">
        <is>
          <t>BIB-039</t>
        </is>
      </c>
      <c r="B40" s="7" t="inlineStr">
        <is>
          <t>Foto Estudio Corazon</t>
        </is>
      </c>
      <c r="C40" s="7" t="inlineStr">
        <is>
          <t>Maria Fernanda Heredia</t>
        </is>
      </c>
      <c r="D40" s="7" t="inlineStr">
        <is>
          <t>Norma</t>
        </is>
      </c>
      <c r="E40" s="7" t="inlineStr"/>
      <c r="F40" s="7" t="n">
        <v>1</v>
      </c>
      <c r="G40" s="7" t="inlineStr">
        <is>
          <t>INVENTARIO</t>
        </is>
      </c>
      <c r="H40" s="7" t="inlineStr">
        <is>
          <t>INV-047</t>
        </is>
      </c>
      <c r="I40" s="7" t="inlineStr">
        <is>
          <t>NO</t>
        </is>
      </c>
    </row>
    <row r="41">
      <c r="A41" s="7" t="inlineStr">
        <is>
          <t>BIB-040</t>
        </is>
      </c>
      <c r="B41" s="7" t="inlineStr">
        <is>
          <t>Habitos Atomicos</t>
        </is>
      </c>
      <c r="C41" s="7" t="inlineStr">
        <is>
          <t>James Clear</t>
        </is>
      </c>
      <c r="D41" s="7" t="inlineStr">
        <is>
          <t>PAIDOS</t>
        </is>
      </c>
      <c r="E41" s="7" t="inlineStr"/>
      <c r="F41" s="7" t="n">
        <v>1</v>
      </c>
      <c r="G41" s="7" t="inlineStr">
        <is>
          <t>INVENTARIO</t>
        </is>
      </c>
      <c r="H41" s="7" t="inlineStr">
        <is>
          <t>INV-001</t>
        </is>
      </c>
      <c r="I41" s="7" t="inlineStr">
        <is>
          <t>NO</t>
        </is>
      </c>
    </row>
    <row r="42">
      <c r="A42" s="7" t="inlineStr">
        <is>
          <t>BIB-041</t>
        </is>
      </c>
      <c r="B42" s="7" t="inlineStr">
        <is>
          <t>Hija de la Fortuna</t>
        </is>
      </c>
      <c r="C42" s="7" t="inlineStr">
        <is>
          <t>Isabel Allende</t>
        </is>
      </c>
      <c r="D42" s="7" t="inlineStr">
        <is>
          <t>Sudamericana</t>
        </is>
      </c>
      <c r="E42" s="7" t="inlineStr"/>
      <c r="F42" s="7" t="n">
        <v>1</v>
      </c>
      <c r="G42" s="7" t="inlineStr">
        <is>
          <t>INVENTARIO</t>
        </is>
      </c>
      <c r="H42" s="7" t="inlineStr">
        <is>
          <t>INV-060</t>
        </is>
      </c>
      <c r="I42" s="7" t="inlineStr">
        <is>
          <t>NO</t>
        </is>
      </c>
    </row>
    <row r="43">
      <c r="A43" s="7" t="inlineStr">
        <is>
          <t>BIB-042</t>
        </is>
      </c>
      <c r="B43" s="7" t="inlineStr">
        <is>
          <t>Juramneto Gitano</t>
        </is>
      </c>
      <c r="C43" s="7" t="inlineStr">
        <is>
          <t>Marianamatilde Rodriguez Jaime</t>
        </is>
      </c>
      <c r="D43" s="7" t="inlineStr">
        <is>
          <t>Universidad del Norte</t>
        </is>
      </c>
      <c r="E43" s="7" t="inlineStr"/>
      <c r="F43" s="7" t="n">
        <v>1</v>
      </c>
      <c r="G43" s="7" t="inlineStr">
        <is>
          <t>INVENTARIO</t>
        </is>
      </c>
      <c r="H43" s="7" t="inlineStr">
        <is>
          <t>INV-058</t>
        </is>
      </c>
      <c r="I43" s="7" t="inlineStr">
        <is>
          <t>NO</t>
        </is>
      </c>
    </row>
    <row r="44">
      <c r="A44" s="7" t="inlineStr">
        <is>
          <t>BIB-043</t>
        </is>
      </c>
      <c r="B44" s="7" t="inlineStr">
        <is>
          <t>La Barca Sin Pescador Siete Gritos en el Mar</t>
        </is>
      </c>
      <c r="C44" s="7" t="inlineStr">
        <is>
          <t>Alejandro Casona</t>
        </is>
      </c>
      <c r="D44" s="7" t="inlineStr">
        <is>
          <t>Biblioteca Edaf</t>
        </is>
      </c>
      <c r="E44" s="7" t="inlineStr"/>
      <c r="F44" s="7" t="n">
        <v>1</v>
      </c>
      <c r="G44" s="7" t="inlineStr">
        <is>
          <t>INVENTARIO</t>
        </is>
      </c>
      <c r="H44" s="7" t="inlineStr">
        <is>
          <t>INV-040</t>
        </is>
      </c>
      <c r="I44" s="7" t="inlineStr">
        <is>
          <t>NO</t>
        </is>
      </c>
    </row>
    <row r="45">
      <c r="A45" s="7" t="inlineStr">
        <is>
          <t>BIB-044</t>
        </is>
      </c>
      <c r="B45" s="7" t="inlineStr">
        <is>
          <t>La Carta, La Pocima y el Tesoro</t>
        </is>
      </c>
      <c r="C45" s="7" t="inlineStr">
        <is>
          <t>N/A</t>
        </is>
      </c>
      <c r="D45" s="7" t="inlineStr">
        <is>
          <t>Universidad Tecnologica de Bolivar</t>
        </is>
      </c>
      <c r="E45" s="7" t="inlineStr"/>
      <c r="F45" s="7" t="n">
        <v>1</v>
      </c>
      <c r="G45" s="7" t="inlineStr">
        <is>
          <t>INVENTARIO</t>
        </is>
      </c>
      <c r="H45" s="7" t="inlineStr">
        <is>
          <t>INV-059</t>
        </is>
      </c>
      <c r="I45" s="7" t="inlineStr">
        <is>
          <t>NO</t>
        </is>
      </c>
    </row>
    <row r="46">
      <c r="A46" s="7" t="inlineStr">
        <is>
          <t>BIB-045</t>
        </is>
      </c>
      <c r="B46" s="7" t="inlineStr">
        <is>
          <t>La Celestina</t>
        </is>
      </c>
      <c r="C46" s="7" t="inlineStr">
        <is>
          <t>Fernando de Rojas</t>
        </is>
      </c>
      <c r="D46" s="7" t="inlineStr">
        <is>
          <t>Atenea</t>
        </is>
      </c>
      <c r="E46" s="7" t="inlineStr"/>
      <c r="F46" s="7" t="n">
        <v>2</v>
      </c>
      <c r="G46" s="7" t="inlineStr">
        <is>
          <t>INVENTARIO</t>
        </is>
      </c>
      <c r="H46" s="7" t="inlineStr">
        <is>
          <t>INV-016, INV-042</t>
        </is>
      </c>
      <c r="I46" s="7" t="inlineStr">
        <is>
          <t>SÍ</t>
        </is>
      </c>
    </row>
    <row r="47">
      <c r="A47" s="7" t="inlineStr">
        <is>
          <t>BIB-046</t>
        </is>
      </c>
      <c r="B47" s="7" t="inlineStr">
        <is>
          <t>La ciudad de mis dolientes</t>
        </is>
      </c>
      <c r="C47" s="7" t="inlineStr">
        <is>
          <t>Adalberto Mieles Gómez</t>
        </is>
      </c>
      <c r="D47" s="7" t="inlineStr">
        <is>
          <t>San Barbara</t>
        </is>
      </c>
      <c r="E47" s="7" t="inlineStr">
        <is>
          <t>9789585810334</t>
        </is>
      </c>
      <c r="F47" s="7" t="n">
        <v>2</v>
      </c>
      <c r="G47" s="7" t="inlineStr">
        <is>
          <t>CH, INVENTARIO</t>
        </is>
      </c>
      <c r="H47" s="7" t="inlineStr">
        <is>
          <t>INV-061, CH-001</t>
        </is>
      </c>
      <c r="I47" s="7" t="inlineStr">
        <is>
          <t>SÍ</t>
        </is>
      </c>
    </row>
    <row r="48">
      <c r="A48" s="7" t="inlineStr">
        <is>
          <t>BIB-047</t>
        </is>
      </c>
      <c r="B48" s="7" t="inlineStr">
        <is>
          <t>La Nueva Tierra</t>
        </is>
      </c>
      <c r="C48" s="7" t="inlineStr">
        <is>
          <t>Jordi Sierra i Fabra</t>
        </is>
      </c>
      <c r="D48" s="7" t="inlineStr">
        <is>
          <t>Alfaguara Juvenil</t>
        </is>
      </c>
      <c r="E48" s="7" t="inlineStr"/>
      <c r="F48" s="7" t="n">
        <v>1</v>
      </c>
      <c r="G48" s="7" t="inlineStr">
        <is>
          <t>INVENTARIO</t>
        </is>
      </c>
      <c r="H48" s="7" t="inlineStr">
        <is>
          <t>INV-022</t>
        </is>
      </c>
      <c r="I48" s="7" t="inlineStr">
        <is>
          <t>NO</t>
        </is>
      </c>
    </row>
    <row r="49">
      <c r="A49" s="7" t="inlineStr">
        <is>
          <t>BIB-048</t>
        </is>
      </c>
      <c r="B49" s="7" t="inlineStr">
        <is>
          <t>La Odisea</t>
        </is>
      </c>
      <c r="C49" s="7" t="inlineStr">
        <is>
          <t>Homero</t>
        </is>
      </c>
      <c r="D49" s="7" t="inlineStr">
        <is>
          <t>Artemisa</t>
        </is>
      </c>
      <c r="E49" s="7" t="inlineStr"/>
      <c r="F49" s="7" t="n">
        <v>1</v>
      </c>
      <c r="G49" s="7" t="inlineStr">
        <is>
          <t>INVENTARIO</t>
        </is>
      </c>
      <c r="H49" s="7" t="inlineStr">
        <is>
          <t>INV-014</t>
        </is>
      </c>
      <c r="I49" s="7" t="inlineStr">
        <is>
          <t>NO</t>
        </is>
      </c>
    </row>
    <row r="50">
      <c r="A50" s="7" t="inlineStr">
        <is>
          <t>BIB-049</t>
        </is>
      </c>
      <c r="B50" s="7" t="inlineStr">
        <is>
          <t>La revelacion de la Decima</t>
        </is>
      </c>
      <c r="C50" s="7" t="inlineStr">
        <is>
          <t>Zora Silvera Dany</t>
        </is>
      </c>
      <c r="D50" s="7" t="inlineStr">
        <is>
          <t>San Barbara</t>
        </is>
      </c>
      <c r="E50" s="7" t="inlineStr">
        <is>
          <t>9789588905341</t>
        </is>
      </c>
      <c r="F50" s="7" t="n">
        <v>2</v>
      </c>
      <c r="G50" s="7" t="inlineStr">
        <is>
          <t>CH, INVENTARIO</t>
        </is>
      </c>
      <c r="H50" s="7" t="inlineStr">
        <is>
          <t>INV-064, CH-004</t>
        </is>
      </c>
      <c r="I50" s="7" t="inlineStr">
        <is>
          <t>SÍ</t>
        </is>
      </c>
    </row>
    <row r="51">
      <c r="A51" s="7" t="inlineStr">
        <is>
          <t>BIB-050</t>
        </is>
      </c>
      <c r="B51" s="7" t="inlineStr">
        <is>
          <t>Las Estrellas son Negras</t>
        </is>
      </c>
      <c r="C51" s="7" t="inlineStr">
        <is>
          <t>Arnoldo Palacios</t>
        </is>
      </c>
      <c r="D51" s="7" t="inlineStr">
        <is>
          <t>Intermedio</t>
        </is>
      </c>
      <c r="E51" s="7" t="inlineStr"/>
      <c r="F51" s="7" t="n">
        <v>1</v>
      </c>
      <c r="G51" s="7" t="inlineStr">
        <is>
          <t>INVENTARIO</t>
        </is>
      </c>
      <c r="H51" s="7" t="inlineStr">
        <is>
          <t>INV-028</t>
        </is>
      </c>
      <c r="I51" s="7" t="inlineStr">
        <is>
          <t>NO</t>
        </is>
      </c>
    </row>
    <row r="52">
      <c r="A52" s="7" t="inlineStr">
        <is>
          <t>BIB-051</t>
        </is>
      </c>
      <c r="B52" s="7" t="inlineStr">
        <is>
          <t>Las Mujeres del Quijote</t>
        </is>
      </c>
      <c r="C52" s="7" t="inlineStr">
        <is>
          <t>Miguel de Cervantes Saavedra</t>
        </is>
      </c>
      <c r="D52" s="7" t="inlineStr">
        <is>
          <t>N/E</t>
        </is>
      </c>
      <c r="E52" s="7" t="inlineStr"/>
      <c r="F52" s="7" t="n">
        <v>2</v>
      </c>
      <c r="G52" s="7" t="inlineStr">
        <is>
          <t>INVENTARIO</t>
        </is>
      </c>
      <c r="H52" s="7" t="inlineStr">
        <is>
          <t>INV-030, INV-031</t>
        </is>
      </c>
      <c r="I52" s="7" t="inlineStr">
        <is>
          <t>SÍ</t>
        </is>
      </c>
    </row>
    <row r="53">
      <c r="A53" s="7" t="inlineStr">
        <is>
          <t>BIB-052</t>
        </is>
      </c>
      <c r="B53" s="7" t="inlineStr">
        <is>
          <t>Lazarillo de Tormes</t>
        </is>
      </c>
      <c r="C53" s="7" t="inlineStr">
        <is>
          <t>Anonimo</t>
        </is>
      </c>
      <c r="D53" s="7" t="inlineStr">
        <is>
          <t>N/E</t>
        </is>
      </c>
      <c r="E53" s="7" t="inlineStr"/>
      <c r="F53" s="7" t="n">
        <v>1</v>
      </c>
      <c r="G53" s="7" t="inlineStr">
        <is>
          <t>INVENTARIO</t>
        </is>
      </c>
      <c r="H53" s="7" t="inlineStr">
        <is>
          <t>INV-038</t>
        </is>
      </c>
      <c r="I53" s="7" t="inlineStr">
        <is>
          <t>NO</t>
        </is>
      </c>
    </row>
    <row r="54">
      <c r="A54" s="7" t="inlineStr">
        <is>
          <t>BIB-053</t>
        </is>
      </c>
      <c r="B54" s="7" t="inlineStr">
        <is>
          <t>Leyendas, Narraciones y Cuentos del Caribe Colombiano</t>
        </is>
      </c>
      <c r="C54" s="7" t="inlineStr">
        <is>
          <t>Martin Orozco Cantillo</t>
        </is>
      </c>
      <c r="D54" s="7" t="inlineStr">
        <is>
          <t>Sibila</t>
        </is>
      </c>
      <c r="E54" s="7" t="inlineStr"/>
      <c r="F54" s="7" t="n">
        <v>1</v>
      </c>
      <c r="G54" s="7" t="inlineStr">
        <is>
          <t>INVENTARIO</t>
        </is>
      </c>
      <c r="H54" s="7" t="inlineStr">
        <is>
          <t>INV-048</t>
        </is>
      </c>
      <c r="I54" s="7" t="inlineStr">
        <is>
          <t>NO</t>
        </is>
      </c>
    </row>
    <row r="55">
      <c r="A55" s="7" t="inlineStr">
        <is>
          <t>BIB-054</t>
        </is>
      </c>
      <c r="B55" s="7" t="inlineStr">
        <is>
          <t>Los Frágiles</t>
        </is>
      </c>
      <c r="C55" s="7" t="inlineStr">
        <is>
          <t>Roumiguiére Cécile</t>
        </is>
      </c>
      <c r="D55" s="7" t="inlineStr">
        <is>
          <t>Norma</t>
        </is>
      </c>
      <c r="E55" s="7" t="inlineStr">
        <is>
          <t>9789580002062</t>
        </is>
      </c>
      <c r="F55" s="7" t="n">
        <v>1</v>
      </c>
      <c r="G55" s="7" t="inlineStr">
        <is>
          <t>CH</t>
        </is>
      </c>
      <c r="H55" s="7" t="inlineStr">
        <is>
          <t>CH-014</t>
        </is>
      </c>
      <c r="I55" s="7" t="inlineStr">
        <is>
          <t>NO</t>
        </is>
      </c>
    </row>
    <row r="56">
      <c r="A56" s="7" t="inlineStr">
        <is>
          <t>BIB-055</t>
        </is>
      </c>
      <c r="B56" s="7" t="inlineStr">
        <is>
          <t>Los Pargos Azules</t>
        </is>
      </c>
      <c r="C56" s="7" t="inlineStr">
        <is>
          <t>Corujo Elena</t>
        </is>
      </c>
      <c r="D56" s="7" t="inlineStr">
        <is>
          <t>Norma</t>
        </is>
      </c>
      <c r="E56" s="7" t="inlineStr">
        <is>
          <t>9789587764918</t>
        </is>
      </c>
      <c r="F56" s="7" t="n">
        <v>1</v>
      </c>
      <c r="G56" s="7" t="inlineStr">
        <is>
          <t>CH</t>
        </is>
      </c>
      <c r="H56" s="7" t="inlineStr">
        <is>
          <t>CH-009</t>
        </is>
      </c>
      <c r="I56" s="7" t="inlineStr">
        <is>
          <t>NO</t>
        </is>
      </c>
    </row>
    <row r="57">
      <c r="A57" s="7" t="inlineStr">
        <is>
          <t>BIB-056</t>
        </is>
      </c>
      <c r="B57" s="7" t="inlineStr">
        <is>
          <t>Los Siete Pasos Hacia el Amor</t>
        </is>
      </c>
      <c r="C57" s="7" t="inlineStr">
        <is>
          <t>Dalai Lama</t>
        </is>
      </c>
      <c r="D57" s="7" t="inlineStr">
        <is>
          <t>Debolsillo</t>
        </is>
      </c>
      <c r="E57" s="7" t="inlineStr"/>
      <c r="F57" s="7" t="n">
        <v>1</v>
      </c>
      <c r="G57" s="7" t="inlineStr">
        <is>
          <t>INVENTARIO</t>
        </is>
      </c>
      <c r="H57" s="7" t="inlineStr">
        <is>
          <t>INV-006</t>
        </is>
      </c>
      <c r="I57" s="7" t="inlineStr">
        <is>
          <t>NO</t>
        </is>
      </c>
    </row>
    <row r="58">
      <c r="A58" s="7" t="inlineStr">
        <is>
          <t>BIB-057</t>
        </is>
      </c>
      <c r="B58" s="7" t="inlineStr">
        <is>
          <t>Los vecinos mueren en las Novelas</t>
        </is>
      </c>
      <c r="C58" s="7" t="inlineStr">
        <is>
          <t>Aguirre Sergio</t>
        </is>
      </c>
      <c r="D58" s="7" t="inlineStr">
        <is>
          <t>Norma</t>
        </is>
      </c>
      <c r="E58" s="7" t="inlineStr">
        <is>
          <t>9789879334966</t>
        </is>
      </c>
      <c r="F58" s="7" t="n">
        <v>1</v>
      </c>
      <c r="G58" s="7" t="inlineStr">
        <is>
          <t>CH</t>
        </is>
      </c>
      <c r="H58" s="7" t="inlineStr">
        <is>
          <t>CH-012</t>
        </is>
      </c>
      <c r="I58" s="7" t="inlineStr">
        <is>
          <t>NO</t>
        </is>
      </c>
    </row>
    <row r="59">
      <c r="A59" s="7" t="inlineStr">
        <is>
          <t>BIB-058</t>
        </is>
      </c>
      <c r="B59" s="7" t="inlineStr">
        <is>
          <t>Magdalena</t>
        </is>
      </c>
      <c r="C59" s="7" t="inlineStr">
        <is>
          <t>Wade Davis</t>
        </is>
      </c>
      <c r="D59" s="7" t="inlineStr">
        <is>
          <t>Vintage Book</t>
        </is>
      </c>
      <c r="E59" s="7" t="inlineStr"/>
      <c r="F59" s="7" t="n">
        <v>1</v>
      </c>
      <c r="G59" s="7" t="inlineStr">
        <is>
          <t>INVENTARIO</t>
        </is>
      </c>
      <c r="H59" s="7" t="inlineStr">
        <is>
          <t>INV-003</t>
        </is>
      </c>
      <c r="I59" s="7" t="inlineStr">
        <is>
          <t>NO</t>
        </is>
      </c>
    </row>
    <row r="60">
      <c r="A60" s="7" t="inlineStr">
        <is>
          <t>BIB-059</t>
        </is>
      </c>
      <c r="B60" s="7" t="inlineStr">
        <is>
          <t>Memorias de un acoso gris</t>
        </is>
      </c>
      <c r="C60" s="7" t="inlineStr">
        <is>
          <t>Prieto Urina Carlos Daniel</t>
        </is>
      </c>
      <c r="D60" s="7" t="inlineStr">
        <is>
          <t>San Barbara</t>
        </is>
      </c>
      <c r="E60" s="7" t="inlineStr">
        <is>
          <t>9789585856059</t>
        </is>
      </c>
      <c r="F60" s="7" t="n">
        <v>2</v>
      </c>
      <c r="G60" s="7" t="inlineStr">
        <is>
          <t>CH, INVENTARIO</t>
        </is>
      </c>
      <c r="H60" s="7" t="inlineStr">
        <is>
          <t>INV-066, CH-006</t>
        </is>
      </c>
      <c r="I60" s="7" t="inlineStr">
        <is>
          <t>SÍ</t>
        </is>
      </c>
    </row>
    <row r="61">
      <c r="A61" s="7" t="inlineStr">
        <is>
          <t>BIB-060</t>
        </is>
      </c>
      <c r="B61" s="7" t="inlineStr">
        <is>
          <t>Mujeres que Aman Demasiado</t>
        </is>
      </c>
      <c r="C61" s="7" t="inlineStr">
        <is>
          <t>Robin Norwood</t>
        </is>
      </c>
      <c r="D61" s="7" t="inlineStr">
        <is>
          <t>Byblos</t>
        </is>
      </c>
      <c r="E61" s="7" t="inlineStr"/>
      <c r="F61" s="7" t="n">
        <v>1</v>
      </c>
      <c r="G61" s="7" t="inlineStr">
        <is>
          <t>INVENTARIO</t>
        </is>
      </c>
      <c r="H61" s="7" t="inlineStr">
        <is>
          <t>INV-032</t>
        </is>
      </c>
      <c r="I61" s="7" t="inlineStr">
        <is>
          <t>NO</t>
        </is>
      </c>
    </row>
    <row r="62">
      <c r="A62" s="7" t="inlineStr">
        <is>
          <t>BIB-061</t>
        </is>
      </c>
      <c r="B62" s="7" t="inlineStr">
        <is>
          <t>Nacho Chichones</t>
        </is>
      </c>
      <c r="C62" s="7" t="inlineStr">
        <is>
          <t>Gonzalo Maure Trenor</t>
        </is>
      </c>
      <c r="D62" s="7" t="inlineStr">
        <is>
          <t>SM</t>
        </is>
      </c>
      <c r="E62" s="7" t="inlineStr"/>
      <c r="F62" s="7" t="n">
        <v>1</v>
      </c>
      <c r="G62" s="7" t="inlineStr">
        <is>
          <t>INVENTARIO</t>
        </is>
      </c>
      <c r="H62" s="7" t="inlineStr">
        <is>
          <t>INV-041</t>
        </is>
      </c>
      <c r="I62" s="7" t="inlineStr">
        <is>
          <t>NO</t>
        </is>
      </c>
    </row>
    <row r="63">
      <c r="A63" s="7" t="inlineStr">
        <is>
          <t>BIB-062</t>
        </is>
      </c>
      <c r="B63" s="7" t="inlineStr">
        <is>
          <t>Noches Blancas</t>
        </is>
      </c>
      <c r="C63" s="7" t="inlineStr">
        <is>
          <t>Fiodor Dostoyevski</t>
        </is>
      </c>
      <c r="D63" s="7" t="inlineStr">
        <is>
          <t>Skla</t>
        </is>
      </c>
      <c r="E63" s="7" t="inlineStr"/>
      <c r="F63" s="7" t="n">
        <v>1</v>
      </c>
      <c r="G63" s="7" t="inlineStr">
        <is>
          <t>INVENTARIO</t>
        </is>
      </c>
      <c r="H63" s="7" t="inlineStr">
        <is>
          <t>INV-037</t>
        </is>
      </c>
      <c r="I63" s="7" t="inlineStr">
        <is>
          <t>NO</t>
        </is>
      </c>
    </row>
    <row r="64">
      <c r="A64" s="7" t="inlineStr">
        <is>
          <t>BIB-063</t>
        </is>
      </c>
      <c r="B64" s="7" t="inlineStr">
        <is>
          <t>Obra Poetica</t>
        </is>
      </c>
      <c r="C64" s="7" t="inlineStr">
        <is>
          <t>Largion Barros de la Hoz</t>
        </is>
      </c>
      <c r="D64" s="7" t="inlineStr">
        <is>
          <t>N/E</t>
        </is>
      </c>
      <c r="E64" s="7" t="inlineStr"/>
      <c r="F64" s="7" t="n">
        <v>1</v>
      </c>
      <c r="G64" s="7" t="inlineStr">
        <is>
          <t>INVENTARIO</t>
        </is>
      </c>
      <c r="H64" s="7" t="inlineStr">
        <is>
          <t>INV-051</t>
        </is>
      </c>
      <c r="I64" s="7" t="inlineStr">
        <is>
          <t>NO</t>
        </is>
      </c>
    </row>
    <row r="65">
      <c r="A65" s="7" t="inlineStr">
        <is>
          <t>BIB-064</t>
        </is>
      </c>
      <c r="B65" s="7" t="inlineStr">
        <is>
          <t>PinceladasCuentisticas</t>
        </is>
      </c>
      <c r="C65" s="7" t="inlineStr">
        <is>
          <t>Alvaro Miranda Villalobos</t>
        </is>
      </c>
      <c r="D65" s="7" t="inlineStr">
        <is>
          <t>N/E</t>
        </is>
      </c>
      <c r="E65" s="7" t="inlineStr"/>
      <c r="F65" s="7" t="n">
        <v>1</v>
      </c>
      <c r="G65" s="7" t="inlineStr">
        <is>
          <t>INVENTARIO</t>
        </is>
      </c>
      <c r="H65" s="7" t="inlineStr">
        <is>
          <t>INV-055</t>
        </is>
      </c>
      <c r="I65" s="7" t="inlineStr">
        <is>
          <t>NO</t>
        </is>
      </c>
    </row>
    <row r="66">
      <c r="A66" s="7" t="inlineStr">
        <is>
          <t>BIB-065</t>
        </is>
      </c>
      <c r="B66" s="7" t="inlineStr">
        <is>
          <t>Poema de Alio Cio</t>
        </is>
      </c>
      <c r="C66" s="7" t="inlineStr">
        <is>
          <t>Anonimo</t>
        </is>
      </c>
      <c r="D66" s="7" t="inlineStr">
        <is>
          <t>Atenea</t>
        </is>
      </c>
      <c r="E66" s="7" t="inlineStr"/>
      <c r="F66" s="7" t="n">
        <v>1</v>
      </c>
      <c r="G66" s="7" t="inlineStr">
        <is>
          <t>INVENTARIO</t>
        </is>
      </c>
      <c r="H66" s="7" t="inlineStr">
        <is>
          <t>INV-015</t>
        </is>
      </c>
      <c r="I66" s="7" t="inlineStr">
        <is>
          <t>NO</t>
        </is>
      </c>
    </row>
    <row r="67">
      <c r="A67" s="7" t="inlineStr">
        <is>
          <t>BIB-066</t>
        </is>
      </c>
      <c r="B67" s="7" t="inlineStr">
        <is>
          <t>Por Amor</t>
        </is>
      </c>
      <c r="C67" s="7" t="inlineStr">
        <is>
          <t>Mc Combie Karen</t>
        </is>
      </c>
      <c r="D67" s="7" t="inlineStr">
        <is>
          <t>Norma</t>
        </is>
      </c>
      <c r="E67" s="7" t="inlineStr">
        <is>
          <t>9789580473473</t>
        </is>
      </c>
      <c r="F67" s="7" t="n">
        <v>1</v>
      </c>
      <c r="G67" s="7" t="inlineStr">
        <is>
          <t>CH</t>
        </is>
      </c>
      <c r="H67" s="7" t="inlineStr">
        <is>
          <t>CH-015</t>
        </is>
      </c>
      <c r="I67" s="7" t="inlineStr">
        <is>
          <t>NO</t>
        </is>
      </c>
    </row>
    <row r="68">
      <c r="A68" s="7" t="inlineStr">
        <is>
          <t>BIB-067</t>
        </is>
      </c>
      <c r="B68" s="7" t="inlineStr">
        <is>
          <t>Por Culpa de una S</t>
        </is>
      </c>
      <c r="C68" s="7" t="inlineStr">
        <is>
          <t>Cristina Rebull</t>
        </is>
      </c>
      <c r="D68" s="7" t="inlineStr">
        <is>
          <t>Norma</t>
        </is>
      </c>
      <c r="E68" s="7" t="inlineStr"/>
      <c r="F68" s="7" t="n">
        <v>1</v>
      </c>
      <c r="G68" s="7" t="inlineStr">
        <is>
          <t>INVENTARIO</t>
        </is>
      </c>
      <c r="H68" s="7" t="inlineStr">
        <is>
          <t>INV-017</t>
        </is>
      </c>
      <c r="I68" s="7" t="inlineStr">
        <is>
          <t>NO</t>
        </is>
      </c>
    </row>
    <row r="69">
      <c r="A69" s="7" t="inlineStr">
        <is>
          <t>BIB-068</t>
        </is>
      </c>
      <c r="B69" s="7" t="inlineStr">
        <is>
          <t>Por favor , Vuelve a casa</t>
        </is>
      </c>
      <c r="C69" s="7" t="inlineStr">
        <is>
          <t>Nostlinger Christine</t>
        </is>
      </c>
      <c r="D69" s="7" t="inlineStr">
        <is>
          <t>Norma</t>
        </is>
      </c>
      <c r="E69" s="7" t="inlineStr">
        <is>
          <t>9789584519931</t>
        </is>
      </c>
      <c r="F69" s="7" t="n">
        <v>1</v>
      </c>
      <c r="G69" s="7" t="inlineStr">
        <is>
          <t>CH</t>
        </is>
      </c>
      <c r="H69" s="7" t="inlineStr">
        <is>
          <t>CH-010</t>
        </is>
      </c>
      <c r="I69" s="7" t="inlineStr">
        <is>
          <t>NO</t>
        </is>
      </c>
    </row>
    <row r="70">
      <c r="A70" s="7" t="inlineStr">
        <is>
          <t>BIB-069</t>
        </is>
      </c>
      <c r="B70" s="7" t="inlineStr">
        <is>
          <t>Precuela Antes de Ella</t>
        </is>
      </c>
      <c r="C70" s="7" t="inlineStr">
        <is>
          <t>Flor Salvador</t>
        </is>
      </c>
      <c r="D70" s="7" t="inlineStr">
        <is>
          <t>N/E</t>
        </is>
      </c>
      <c r="E70" s="7" t="inlineStr"/>
      <c r="F70" s="7" t="n">
        <v>1</v>
      </c>
      <c r="G70" s="7" t="inlineStr">
        <is>
          <t>INVENTARIO</t>
        </is>
      </c>
      <c r="H70" s="7" t="inlineStr">
        <is>
          <t>INV-002</t>
        </is>
      </c>
      <c r="I70" s="7" t="inlineStr">
        <is>
          <t>NO</t>
        </is>
      </c>
    </row>
    <row r="71">
      <c r="A71" s="7" t="inlineStr">
        <is>
          <t>BIB-070</t>
        </is>
      </c>
      <c r="B71" s="7" t="inlineStr">
        <is>
          <t>¿Quien se ha Llevado mi Queso?</t>
        </is>
      </c>
      <c r="C71" s="7" t="inlineStr">
        <is>
          <t>Spencer Johnson</t>
        </is>
      </c>
      <c r="D71" s="7" t="inlineStr">
        <is>
          <t>N/E</t>
        </is>
      </c>
      <c r="E71" s="7" t="inlineStr"/>
      <c r="F71" s="7" t="n">
        <v>1</v>
      </c>
      <c r="G71" s="7" t="inlineStr">
        <is>
          <t>INVENTARIO</t>
        </is>
      </c>
      <c r="H71" s="7" t="inlineStr">
        <is>
          <t>INV-052</t>
        </is>
      </c>
      <c r="I71" s="7" t="inlineStr">
        <is>
          <t>NO</t>
        </is>
      </c>
    </row>
    <row r="72">
      <c r="A72" s="7" t="inlineStr">
        <is>
          <t>BIB-071</t>
        </is>
      </c>
      <c r="B72" s="7" t="inlineStr">
        <is>
          <t>Relato de un Náufrago</t>
        </is>
      </c>
      <c r="C72" s="7" t="inlineStr">
        <is>
          <t>García Márquez Gabriel</t>
        </is>
      </c>
      <c r="D72" s="7" t="inlineStr">
        <is>
          <t>Norma</t>
        </is>
      </c>
      <c r="E72" s="7" t="inlineStr">
        <is>
          <t>9789588774053</t>
        </is>
      </c>
      <c r="F72" s="7" t="n">
        <v>2</v>
      </c>
      <c r="G72" s="7" t="inlineStr">
        <is>
          <t>CH, INVENTARIO</t>
        </is>
      </c>
      <c r="H72" s="7" t="inlineStr">
        <is>
          <t>INV-018, CH-017</t>
        </is>
      </c>
      <c r="I72" s="7" t="inlineStr">
        <is>
          <t>SÍ</t>
        </is>
      </c>
    </row>
    <row r="73">
      <c r="A73" s="7" t="inlineStr">
        <is>
          <t>BIB-072</t>
        </is>
      </c>
      <c r="B73" s="7" t="inlineStr">
        <is>
          <t>Sea su Propio Jefe</t>
        </is>
      </c>
      <c r="C73" s="7" t="inlineStr">
        <is>
          <t>N/A</t>
        </is>
      </c>
      <c r="D73" s="7" t="inlineStr">
        <is>
          <t>El Espectador</t>
        </is>
      </c>
      <c r="E73" s="7" t="inlineStr"/>
      <c r="F73" s="7" t="n">
        <v>1</v>
      </c>
      <c r="G73" s="7" t="inlineStr">
        <is>
          <t>INVENTARIO</t>
        </is>
      </c>
      <c r="H73" s="7" t="inlineStr">
        <is>
          <t>INV-034</t>
        </is>
      </c>
      <c r="I73" s="7" t="inlineStr">
        <is>
          <t>NO</t>
        </is>
      </c>
    </row>
    <row r="74">
      <c r="A74" s="7" t="inlineStr">
        <is>
          <t>BIB-073</t>
        </is>
      </c>
      <c r="B74" s="7" t="inlineStr">
        <is>
          <t>Toby</t>
        </is>
      </c>
      <c r="C74" s="7" t="inlineStr">
        <is>
          <t>Graciela Cabal</t>
        </is>
      </c>
      <c r="D74" s="7" t="inlineStr">
        <is>
          <t>Norma</t>
        </is>
      </c>
      <c r="E74" s="7" t="inlineStr"/>
      <c r="F74" s="7" t="n">
        <v>1</v>
      </c>
      <c r="G74" s="7" t="inlineStr">
        <is>
          <t>INVENTARIO</t>
        </is>
      </c>
      <c r="H74" s="7" t="inlineStr">
        <is>
          <t>INV-046</t>
        </is>
      </c>
      <c r="I74" s="7" t="inlineStr">
        <is>
          <t>NO</t>
        </is>
      </c>
    </row>
    <row r="75">
      <c r="A75" s="7" t="inlineStr">
        <is>
          <t>BIB-074</t>
        </is>
      </c>
      <c r="B75" s="7" t="inlineStr">
        <is>
          <t>Veinte Poemas de Amor y una Cancion Desesperada</t>
        </is>
      </c>
      <c r="C75" s="7" t="inlineStr">
        <is>
          <t>Pablo Neruda</t>
        </is>
      </c>
      <c r="D75" s="7" t="inlineStr">
        <is>
          <t>N/E</t>
        </is>
      </c>
      <c r="E75" s="7" t="inlineStr"/>
      <c r="F75" s="7" t="n">
        <v>1</v>
      </c>
      <c r="G75" s="7" t="inlineStr">
        <is>
          <t>INVENTARIO</t>
        </is>
      </c>
      <c r="H75" s="7" t="inlineStr">
        <is>
          <t>INV-036</t>
        </is>
      </c>
      <c r="I75" s="7" t="inlineStr">
        <is>
          <t>NO</t>
        </is>
      </c>
    </row>
  </sheetData>
  <autoFilter ref="A1:I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28" customWidth="1" min="4" max="4"/>
    <col width="28" customWidth="1" min="5" max="5"/>
    <col width="18" customWidth="1" min="6" max="6"/>
    <col width="70" customWidth="1" min="7" max="7"/>
  </cols>
  <sheetData>
    <row r="1" ht="30" customHeight="1">
      <c r="A1" s="10" t="inlineStr">
        <is>
          <t>GRUPO</t>
        </is>
      </c>
      <c r="B1" s="10" t="inlineStr">
        <is>
          <t>TITULO</t>
        </is>
      </c>
      <c r="C1" s="10" t="inlineStr">
        <is>
          <t>EDITORIAL</t>
        </is>
      </c>
      <c r="D1" s="10" t="inlineStr">
        <is>
          <t>IDS_EJEMPLARES</t>
        </is>
      </c>
      <c r="E1" s="10" t="inlineStr">
        <is>
          <t>FUENTES</t>
        </is>
      </c>
      <c r="F1" s="10" t="inlineStr">
        <is>
          <t>TIPO</t>
        </is>
      </c>
      <c r="G1" s="10" t="inlineStr">
        <is>
          <t>ACCION</t>
        </is>
      </c>
    </row>
    <row r="2">
      <c r="A2" s="7" t="inlineStr">
        <is>
          <t>BIB-001</t>
        </is>
      </c>
      <c r="B2" s="7" t="inlineStr">
        <is>
          <t>Acompañada, pero a solas con la vida</t>
        </is>
      </c>
      <c r="C2" s="7" t="inlineStr">
        <is>
          <t>San Barbara</t>
        </is>
      </c>
      <c r="D2" s="7" t="inlineStr">
        <is>
          <t>INV-063, CH-003</t>
        </is>
      </c>
      <c r="E2" s="7" t="inlineStr">
        <is>
          <t>CH, INVENTARIO</t>
        </is>
      </c>
      <c r="F2" s="7" t="inlineStr">
        <is>
          <t>ENTRE_FUENTES</t>
        </is>
      </c>
      <c r="G2" s="7" t="inlineStr">
        <is>
          <t>Verificar físicamente. Si son ejemplares distintos, recibir ambos. Si es el mismo, recibir solo uno.</t>
        </is>
      </c>
    </row>
    <row r="3">
      <c r="A3" s="7" t="inlineStr">
        <is>
          <t>BIB-009</t>
        </is>
      </c>
      <c r="B3" s="7" t="inlineStr">
        <is>
          <t>Con el alma en la mano</t>
        </is>
      </c>
      <c r="C3" s="7" t="inlineStr">
        <is>
          <t>San Barbara</t>
        </is>
      </c>
      <c r="D3" s="7" t="inlineStr">
        <is>
          <t>INV-062, CH-002</t>
        </is>
      </c>
      <c r="E3" s="7" t="inlineStr">
        <is>
          <t>CH, INVENTARIO</t>
        </is>
      </c>
      <c r="F3" s="7" t="inlineStr">
        <is>
          <t>ENTRE_FUENTES</t>
        </is>
      </c>
      <c r="G3" s="7" t="inlineStr">
        <is>
          <t>Verificar físicamente. Si son ejemplares distintos, recibir ambos. Si es el mismo, recibir solo uno.</t>
        </is>
      </c>
    </row>
    <row r="4">
      <c r="A4" s="7" t="inlineStr">
        <is>
          <t>BIB-013</t>
        </is>
      </c>
      <c r="B4" s="7" t="inlineStr">
        <is>
          <t>Cumbia Soul</t>
        </is>
      </c>
      <c r="C4" s="7" t="inlineStr">
        <is>
          <t>Cool Way Press</t>
        </is>
      </c>
      <c r="D4" s="7" t="inlineStr">
        <is>
          <t>INV-067, CH-007</t>
        </is>
      </c>
      <c r="E4" s="7" t="inlineStr">
        <is>
          <t>CH, INVENTARIO</t>
        </is>
      </c>
      <c r="F4" s="7" t="inlineStr">
        <is>
          <t>ENTRE_FUENTES</t>
        </is>
      </c>
      <c r="G4" s="7" t="inlineStr">
        <is>
          <t>Verificar físicamente. Si son ejemplares distintos, recibir ambos. Si es el mismo, recibir solo uno.</t>
        </is>
      </c>
    </row>
    <row r="5">
      <c r="A5" s="7" t="inlineStr">
        <is>
          <t>BIB-014</t>
        </is>
      </c>
      <c r="B5" s="7" t="inlineStr">
        <is>
          <t>De Rejas y Amor</t>
        </is>
      </c>
      <c r="C5" s="7" t="inlineStr">
        <is>
          <t>San Barbara</t>
        </is>
      </c>
      <c r="D5" s="7" t="inlineStr">
        <is>
          <t>INV-065, CH-005</t>
        </is>
      </c>
      <c r="E5" s="7" t="inlineStr">
        <is>
          <t>CH, INVENTARIO</t>
        </is>
      </c>
      <c r="F5" s="7" t="inlineStr">
        <is>
          <t>ENTRE_FUENTES</t>
        </is>
      </c>
      <c r="G5" s="7" t="inlineStr">
        <is>
          <t>Verificar físicamente. Si son ejemplares distintos, recibir ambos. Si es el mismo, recibir solo uno.</t>
        </is>
      </c>
    </row>
    <row r="6">
      <c r="A6" s="7" t="inlineStr">
        <is>
          <t>BIB-045</t>
        </is>
      </c>
      <c r="B6" s="7" t="inlineStr">
        <is>
          <t>La Celestina</t>
        </is>
      </c>
      <c r="C6" s="7" t="inlineStr">
        <is>
          <t>Atenea</t>
        </is>
      </c>
      <c r="D6" s="7" t="inlineStr">
        <is>
          <t>INV-016, INV-042</t>
        </is>
      </c>
      <c r="E6" s="7" t="inlineStr">
        <is>
          <t>INVENTARIO</t>
        </is>
      </c>
      <c r="F6" s="7" t="inlineStr">
        <is>
          <t>MISMA_FUENTE</t>
        </is>
      </c>
      <c r="G6" s="7" t="inlineStr">
        <is>
          <t>Verificar físicamente. Si son ejemplares distintos, recibir ambos. Si es el mismo, recibir solo uno.</t>
        </is>
      </c>
    </row>
    <row r="7">
      <c r="A7" s="7" t="inlineStr">
        <is>
          <t>BIB-046</t>
        </is>
      </c>
      <c r="B7" s="7" t="inlineStr">
        <is>
          <t>La ciudad de mis dolientes</t>
        </is>
      </c>
      <c r="C7" s="7" t="inlineStr">
        <is>
          <t>San Barbara</t>
        </is>
      </c>
      <c r="D7" s="7" t="inlineStr">
        <is>
          <t>INV-061, CH-001</t>
        </is>
      </c>
      <c r="E7" s="7" t="inlineStr">
        <is>
          <t>CH, INVENTARIO</t>
        </is>
      </c>
      <c r="F7" s="7" t="inlineStr">
        <is>
          <t>ENTRE_FUENTES</t>
        </is>
      </c>
      <c r="G7" s="7" t="inlineStr">
        <is>
          <t>Verificar físicamente. Si son ejemplares distintos, recibir ambos. Si es el mismo, recibir solo uno.</t>
        </is>
      </c>
    </row>
    <row r="8">
      <c r="A8" s="7" t="inlineStr">
        <is>
          <t>BIB-049</t>
        </is>
      </c>
      <c r="B8" s="7" t="inlineStr">
        <is>
          <t>La revelacion de la Decima</t>
        </is>
      </c>
      <c r="C8" s="7" t="inlineStr">
        <is>
          <t>San Barbara</t>
        </is>
      </c>
      <c r="D8" s="7" t="inlineStr">
        <is>
          <t>INV-064, CH-004</t>
        </is>
      </c>
      <c r="E8" s="7" t="inlineStr">
        <is>
          <t>CH, INVENTARIO</t>
        </is>
      </c>
      <c r="F8" s="7" t="inlineStr">
        <is>
          <t>ENTRE_FUENTES</t>
        </is>
      </c>
      <c r="G8" s="7" t="inlineStr">
        <is>
          <t>Verificar físicamente. Si son ejemplares distintos, recibir ambos. Si es el mismo, recibir solo uno.</t>
        </is>
      </c>
    </row>
    <row r="9">
      <c r="A9" s="7" t="inlineStr">
        <is>
          <t>BIB-051</t>
        </is>
      </c>
      <c r="B9" s="7" t="inlineStr">
        <is>
          <t>Las Mujeres del Quijote</t>
        </is>
      </c>
      <c r="C9" s="7" t="inlineStr">
        <is>
          <t>N/E</t>
        </is>
      </c>
      <c r="D9" s="7" t="inlineStr">
        <is>
          <t>INV-030, INV-031</t>
        </is>
      </c>
      <c r="E9" s="7" t="inlineStr">
        <is>
          <t>INVENTARIO</t>
        </is>
      </c>
      <c r="F9" s="7" t="inlineStr">
        <is>
          <t>MISMA_FUENTE</t>
        </is>
      </c>
      <c r="G9" s="7" t="inlineStr">
        <is>
          <t>Verificar físicamente. Si son ejemplares distintos, recibir ambos. Si es el mismo, recibir solo uno.</t>
        </is>
      </c>
    </row>
    <row r="10">
      <c r="A10" s="7" t="inlineStr">
        <is>
          <t>BIB-059</t>
        </is>
      </c>
      <c r="B10" s="7" t="inlineStr">
        <is>
          <t>Memorias de un acoso gris</t>
        </is>
      </c>
      <c r="C10" s="7" t="inlineStr">
        <is>
          <t>San Barbara</t>
        </is>
      </c>
      <c r="D10" s="7" t="inlineStr">
        <is>
          <t>INV-066, CH-006</t>
        </is>
      </c>
      <c r="E10" s="7" t="inlineStr">
        <is>
          <t>CH, INVENTARIO</t>
        </is>
      </c>
      <c r="F10" s="7" t="inlineStr">
        <is>
          <t>ENTRE_FUENTES</t>
        </is>
      </c>
      <c r="G10" s="7" t="inlineStr">
        <is>
          <t>Verificar físicamente. Si son ejemplares distintos, recibir ambos. Si es el mismo, recibir solo uno.</t>
        </is>
      </c>
    </row>
    <row r="11">
      <c r="A11" s="7" t="inlineStr">
        <is>
          <t>BIB-071</t>
        </is>
      </c>
      <c r="B11" s="7" t="inlineStr">
        <is>
          <t>Relato de un Náufrago</t>
        </is>
      </c>
      <c r="C11" s="7" t="inlineStr">
        <is>
          <t>Norma</t>
        </is>
      </c>
      <c r="D11" s="7" t="inlineStr">
        <is>
          <t>INV-018, CH-017</t>
        </is>
      </c>
      <c r="E11" s="7" t="inlineStr">
        <is>
          <t>CH, INVENTARIO</t>
        </is>
      </c>
      <c r="F11" s="7" t="inlineStr">
        <is>
          <t>ENTRE_FUENTES</t>
        </is>
      </c>
      <c r="G11" s="7" t="inlineStr">
        <is>
          <t>Verificar físicamente. Si son ejemplares distintos, recibir ambos. Si es el mismo, recibir solo uno.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20" customWidth="1" min="6" max="6"/>
    <col width="12" customWidth="1" min="7" max="7"/>
    <col width="14" customWidth="1" min="8" max="8"/>
    <col width="34" customWidth="1" min="9" max="9"/>
    <col width="30" customWidth="1" min="10" max="10"/>
  </cols>
  <sheetData>
    <row r="1" ht="30" customHeight="1">
      <c r="A1" s="6" t="inlineStr">
        <is>
          <t>NO_OPERACION</t>
        </is>
      </c>
      <c r="B1" s="6" t="inlineStr">
        <is>
          <t>FECHA_HORA</t>
        </is>
      </c>
      <c r="C1" s="6" t="inlineStr">
        <is>
          <t>RESPONSABLE</t>
        </is>
      </c>
      <c r="D1" s="6" t="inlineStr">
        <is>
          <t>ID_APORTADO</t>
        </is>
      </c>
      <c r="E1" s="6" t="inlineStr">
        <is>
          <t>ID_ENTREGADO</t>
        </is>
      </c>
      <c r="F1" s="6" t="inlineStr">
        <is>
          <t>CODIGO_PARTICIPANTE</t>
        </is>
      </c>
      <c r="G1" s="6" t="inlineStr">
        <is>
          <t>ESTADO</t>
        </is>
      </c>
      <c r="H1" s="6" t="inlineStr">
        <is>
          <t>COMPROBANTE</t>
        </is>
      </c>
      <c r="I1" s="6" t="inlineStr">
        <is>
          <t>OBSERVACIONES</t>
        </is>
      </c>
      <c r="J1" s="6" t="inlineStr">
        <is>
          <t>VALIDACION</t>
        </is>
      </c>
    </row>
    <row r="4">
      <c r="A4" s="7">
        <f>"EVT-"&amp;TEXT(ROW()-3,"000")</f>
        <v/>
      </c>
      <c r="B4" s="9" t="inlineStr"/>
      <c r="C4" s="9" t="inlineStr"/>
      <c r="D4" s="9" t="inlineStr"/>
      <c r="E4" s="9" t="inlineStr"/>
      <c r="F4" s="9" t="inlineStr"/>
      <c r="G4" s="7" t="inlineStr">
        <is>
          <t>REGISTRADO</t>
        </is>
      </c>
      <c r="H4" s="7">
        <f>IF(J4="VÁLIDO",A4,"")</f>
        <v/>
      </c>
      <c r="I4" s="9" t="inlineStr"/>
      <c r="J4" s="7">
        <f>IF(COUNTA($D4,$E4)=0,"",IF($G4="ANULADO","ANULADO",IF($D4=$E4,"ERROR: MISMO EJEMPLAR",IF(IFERROR(VLOOKUP($D4,Catalogo!$A:$T,16,FALSE),"NO")&lt;&gt;"SÍ","ERROR: APORTADO NO DISPONIBLE",IF(IFERROR(VLOOKUP($E4,Catalogo!$A:$T,16,FALSE),"NO")&lt;&gt;"SÍ","ERROR: ENTREGADO NO DISPONIBLE",IF(COUNTIFS($D$4:$D$103,$D4,$G$4:$G$103,"REGISTRADO",$A$4:$A$103,"&lt;&gt;"&amp;$A4)+COUNTIFS($E$4:$E$103,$D4,$G$4:$G$103,"REGISTRADO",$A$4:$A$103,"&lt;&gt;"&amp;$A4)&gt;0,"ERROR: APORTADO YA USADO",IF(COUNTIFS($D$4:$D$103,$E4,$G$4:$G$103,"REGISTRADO",$A$4:$A$103,"&lt;&gt;"&amp;$A4)+COUNTIFS($E$4:$E$103,$E4,$G$4:$G$103,"REGISTRADO",$A$4:$A$103,"&lt;&gt;"&amp;$A4)&gt;0,"ERROR: ENTREGADO YA USADO","VÁLIDO")))))))</f>
        <v/>
      </c>
    </row>
    <row r="5">
      <c r="A5" s="7">
        <f>"EVT-"&amp;TEXT(ROW()-3,"000")</f>
        <v/>
      </c>
      <c r="B5" s="9" t="inlineStr"/>
      <c r="C5" s="9" t="inlineStr"/>
      <c r="D5" s="9" t="inlineStr"/>
      <c r="E5" s="9" t="inlineStr"/>
      <c r="F5" s="9" t="inlineStr"/>
      <c r="G5" s="7" t="inlineStr">
        <is>
          <t>REGISTRADO</t>
        </is>
      </c>
      <c r="H5" s="7">
        <f>IF(J5="VÁLIDO",A5,"")</f>
        <v/>
      </c>
      <c r="I5" s="9" t="inlineStr"/>
      <c r="J5" s="7">
        <f>IF(COUNTA($D5,$E5)=0,"",IF($G5="ANULADO","ANULADO",IF($D5=$E5,"ERROR: MISMO EJEMPLAR",IF(IFERROR(VLOOKUP($D5,Catalogo!$A:$T,16,FALSE),"NO")&lt;&gt;"SÍ","ERROR: APORTADO NO DISPONIBLE",IF(IFERROR(VLOOKUP($E5,Catalogo!$A:$T,16,FALSE),"NO")&lt;&gt;"SÍ","ERROR: ENTREGADO NO DISPONIBLE",IF(COUNTIFS($D$4:$D$103,$D5,$G$4:$G$103,"REGISTRADO",$A$4:$A$103,"&lt;&gt;"&amp;$A5)+COUNTIFS($E$4:$E$103,$D5,$G$4:$G$103,"REGISTRADO",$A$4:$A$103,"&lt;&gt;"&amp;$A5)&gt;0,"ERROR: APORTADO YA USADO",IF(COUNTIFS($D$4:$D$103,$E5,$G$4:$G$103,"REGISTRADO",$A$4:$A$103,"&lt;&gt;"&amp;$A5)+COUNTIFS($E$4:$E$103,$E5,$G$4:$G$103,"REGISTRADO",$A$4:$A$103,"&lt;&gt;"&amp;$A5)&gt;0,"ERROR: ENTREGADO YA USADO","VÁLIDO")))))))</f>
        <v/>
      </c>
    </row>
    <row r="6">
      <c r="A6" s="7">
        <f>"EVT-"&amp;TEXT(ROW()-3,"000")</f>
        <v/>
      </c>
      <c r="B6" s="9" t="inlineStr"/>
      <c r="C6" s="9" t="inlineStr"/>
      <c r="D6" s="9" t="inlineStr"/>
      <c r="E6" s="9" t="inlineStr"/>
      <c r="F6" s="9" t="inlineStr"/>
      <c r="G6" s="7" t="inlineStr">
        <is>
          <t>REGISTRADO</t>
        </is>
      </c>
      <c r="H6" s="7">
        <f>IF(J6="VÁLIDO",A6,"")</f>
        <v/>
      </c>
      <c r="I6" s="9" t="inlineStr"/>
      <c r="J6" s="7">
        <f>IF(COUNTA($D6,$E6)=0,"",IF($G6="ANULADO","ANULADO",IF($D6=$E6,"ERROR: MISMO EJEMPLAR",IF(IFERROR(VLOOKUP($D6,Catalogo!$A:$T,16,FALSE),"NO")&lt;&gt;"SÍ","ERROR: APORTADO NO DISPONIBLE",IF(IFERROR(VLOOKUP($E6,Catalogo!$A:$T,16,FALSE),"NO")&lt;&gt;"SÍ","ERROR: ENTREGADO NO DISPONIBLE",IF(COUNTIFS($D$4:$D$103,$D6,$G$4:$G$103,"REGISTRADO",$A$4:$A$103,"&lt;&gt;"&amp;$A6)+COUNTIFS($E$4:$E$103,$D6,$G$4:$G$103,"REGISTRADO",$A$4:$A$103,"&lt;&gt;"&amp;$A6)&gt;0,"ERROR: APORTADO YA USADO",IF(COUNTIFS($D$4:$D$103,$E6,$G$4:$G$103,"REGISTRADO",$A$4:$A$103,"&lt;&gt;"&amp;$A6)+COUNTIFS($E$4:$E$103,$E6,$G$4:$G$103,"REGISTRADO",$A$4:$A$103,"&lt;&gt;"&amp;$A6)&gt;0,"ERROR: ENTREGADO YA USADO","VÁLIDO")))))))</f>
        <v/>
      </c>
    </row>
    <row r="7">
      <c r="A7" s="7">
        <f>"EVT-"&amp;TEXT(ROW()-3,"000")</f>
        <v/>
      </c>
      <c r="B7" s="9" t="inlineStr"/>
      <c r="C7" s="9" t="inlineStr"/>
      <c r="D7" s="9" t="inlineStr"/>
      <c r="E7" s="9" t="inlineStr"/>
      <c r="F7" s="9" t="inlineStr"/>
      <c r="G7" s="7" t="inlineStr">
        <is>
          <t>REGISTRADO</t>
        </is>
      </c>
      <c r="H7" s="7">
        <f>IF(J7="VÁLIDO",A7,"")</f>
        <v/>
      </c>
      <c r="I7" s="9" t="inlineStr"/>
      <c r="J7" s="7">
        <f>IF(COUNTA($D7,$E7)=0,"",IF($G7="ANULADO","ANULADO",IF($D7=$E7,"ERROR: MISMO EJEMPLAR",IF(IFERROR(VLOOKUP($D7,Catalogo!$A:$T,16,FALSE),"NO")&lt;&gt;"SÍ","ERROR: APORTADO NO DISPONIBLE",IF(IFERROR(VLOOKUP($E7,Catalogo!$A:$T,16,FALSE),"NO")&lt;&gt;"SÍ","ERROR: ENTREGADO NO DISPONIBLE",IF(COUNTIFS($D$4:$D$103,$D7,$G$4:$G$103,"REGISTRADO",$A$4:$A$103,"&lt;&gt;"&amp;$A7)+COUNTIFS($E$4:$E$103,$D7,$G$4:$G$103,"REGISTRADO",$A$4:$A$103,"&lt;&gt;"&amp;$A7)&gt;0,"ERROR: APORTADO YA USADO",IF(COUNTIFS($D$4:$D$103,$E7,$G$4:$G$103,"REGISTRADO",$A$4:$A$103,"&lt;&gt;"&amp;$A7)+COUNTIFS($E$4:$E$103,$E7,$G$4:$G$103,"REGISTRADO",$A$4:$A$103,"&lt;&gt;"&amp;$A7)&gt;0,"ERROR: ENTREGADO YA USADO","VÁLIDO")))))))</f>
        <v/>
      </c>
    </row>
    <row r="8">
      <c r="A8" s="7">
        <f>"EVT-"&amp;TEXT(ROW()-3,"000")</f>
        <v/>
      </c>
      <c r="B8" s="9" t="inlineStr"/>
      <c r="C8" s="9" t="inlineStr"/>
      <c r="D8" s="9" t="inlineStr"/>
      <c r="E8" s="9" t="inlineStr"/>
      <c r="F8" s="9" t="inlineStr"/>
      <c r="G8" s="7" t="inlineStr">
        <is>
          <t>REGISTRADO</t>
        </is>
      </c>
      <c r="H8" s="7">
        <f>IF(J8="VÁLIDO",A8,"")</f>
        <v/>
      </c>
      <c r="I8" s="9" t="inlineStr"/>
      <c r="J8" s="7">
        <f>IF(COUNTA($D8,$E8)=0,"",IF($G8="ANULADO","ANULADO",IF($D8=$E8,"ERROR: MISMO EJEMPLAR",IF(IFERROR(VLOOKUP($D8,Catalogo!$A:$T,16,FALSE),"NO")&lt;&gt;"SÍ","ERROR: APORTADO NO DISPONIBLE",IF(IFERROR(VLOOKUP($E8,Catalogo!$A:$T,16,FALSE),"NO")&lt;&gt;"SÍ","ERROR: ENTREGADO NO DISPONIBLE",IF(COUNTIFS($D$4:$D$103,$D8,$G$4:$G$103,"REGISTRADO",$A$4:$A$103,"&lt;&gt;"&amp;$A8)+COUNTIFS($E$4:$E$103,$D8,$G$4:$G$103,"REGISTRADO",$A$4:$A$103,"&lt;&gt;"&amp;$A8)&gt;0,"ERROR: APORTADO YA USADO",IF(COUNTIFS($D$4:$D$103,$E8,$G$4:$G$103,"REGISTRADO",$A$4:$A$103,"&lt;&gt;"&amp;$A8)+COUNTIFS($E$4:$E$103,$E8,$G$4:$G$103,"REGISTRADO",$A$4:$A$103,"&lt;&gt;"&amp;$A8)&gt;0,"ERROR: ENTREGADO YA USADO","VÁLIDO")))))))</f>
        <v/>
      </c>
    </row>
    <row r="9">
      <c r="A9" s="7">
        <f>"EVT-"&amp;TEXT(ROW()-3,"000")</f>
        <v/>
      </c>
      <c r="B9" s="9" t="inlineStr"/>
      <c r="C9" s="9" t="inlineStr"/>
      <c r="D9" s="9" t="inlineStr"/>
      <c r="E9" s="9" t="inlineStr"/>
      <c r="F9" s="9" t="inlineStr"/>
      <c r="G9" s="7" t="inlineStr">
        <is>
          <t>REGISTRADO</t>
        </is>
      </c>
      <c r="H9" s="7">
        <f>IF(J9="VÁLIDO",A9,"")</f>
        <v/>
      </c>
      <c r="I9" s="9" t="inlineStr"/>
      <c r="J9" s="7">
        <f>IF(COUNTA($D9,$E9)=0,"",IF($G9="ANULADO","ANULADO",IF($D9=$E9,"ERROR: MISMO EJEMPLAR",IF(IFERROR(VLOOKUP($D9,Catalogo!$A:$T,16,FALSE),"NO")&lt;&gt;"SÍ","ERROR: APORTADO NO DISPONIBLE",IF(IFERROR(VLOOKUP($E9,Catalogo!$A:$T,16,FALSE),"NO")&lt;&gt;"SÍ","ERROR: ENTREGADO NO DISPONIBLE",IF(COUNTIFS($D$4:$D$103,$D9,$G$4:$G$103,"REGISTRADO",$A$4:$A$103,"&lt;&gt;"&amp;$A9)+COUNTIFS($E$4:$E$103,$D9,$G$4:$G$103,"REGISTRADO",$A$4:$A$103,"&lt;&gt;"&amp;$A9)&gt;0,"ERROR: APORTADO YA USADO",IF(COUNTIFS($D$4:$D$103,$E9,$G$4:$G$103,"REGISTRADO",$A$4:$A$103,"&lt;&gt;"&amp;$A9)+COUNTIFS($E$4:$E$103,$E9,$G$4:$G$103,"REGISTRADO",$A$4:$A$103,"&lt;&gt;"&amp;$A9)&gt;0,"ERROR: ENTREGADO YA USADO","VÁLIDO")))))))</f>
        <v/>
      </c>
    </row>
    <row r="10">
      <c r="A10" s="7">
        <f>"EVT-"&amp;TEXT(ROW()-3,"000")</f>
        <v/>
      </c>
      <c r="B10" s="9" t="inlineStr"/>
      <c r="C10" s="9" t="inlineStr"/>
      <c r="D10" s="9" t="inlineStr"/>
      <c r="E10" s="9" t="inlineStr"/>
      <c r="F10" s="9" t="inlineStr"/>
      <c r="G10" s="7" t="inlineStr">
        <is>
          <t>REGISTRADO</t>
        </is>
      </c>
      <c r="H10" s="7">
        <f>IF(J10="VÁLIDO",A10,"")</f>
        <v/>
      </c>
      <c r="I10" s="9" t="inlineStr"/>
      <c r="J10" s="7">
        <f>IF(COUNTA($D10,$E10)=0,"",IF($G10="ANULADO","ANULADO",IF($D10=$E10,"ERROR: MISMO EJEMPLAR",IF(IFERROR(VLOOKUP($D10,Catalogo!$A:$T,16,FALSE),"NO")&lt;&gt;"SÍ","ERROR: APORTADO NO DISPONIBLE",IF(IFERROR(VLOOKUP($E10,Catalogo!$A:$T,16,FALSE),"NO")&lt;&gt;"SÍ","ERROR: ENTREGADO NO DISPONIBLE",IF(COUNTIFS($D$4:$D$103,$D10,$G$4:$G$103,"REGISTRADO",$A$4:$A$103,"&lt;&gt;"&amp;$A10)+COUNTIFS($E$4:$E$103,$D10,$G$4:$G$103,"REGISTRADO",$A$4:$A$103,"&lt;&gt;"&amp;$A10)&gt;0,"ERROR: APORTADO YA USADO",IF(COUNTIFS($D$4:$D$103,$E10,$G$4:$G$103,"REGISTRADO",$A$4:$A$103,"&lt;&gt;"&amp;$A10)+COUNTIFS($E$4:$E$103,$E10,$G$4:$G$103,"REGISTRADO",$A$4:$A$103,"&lt;&gt;"&amp;$A10)&gt;0,"ERROR: ENTREGADO YA USADO","VÁLIDO")))))))</f>
        <v/>
      </c>
    </row>
    <row r="11">
      <c r="A11" s="7">
        <f>"EVT-"&amp;TEXT(ROW()-3,"000")</f>
        <v/>
      </c>
      <c r="B11" s="9" t="inlineStr"/>
      <c r="C11" s="9" t="inlineStr"/>
      <c r="D11" s="9" t="inlineStr"/>
      <c r="E11" s="9" t="inlineStr"/>
      <c r="F11" s="9" t="inlineStr"/>
      <c r="G11" s="7" t="inlineStr">
        <is>
          <t>REGISTRADO</t>
        </is>
      </c>
      <c r="H11" s="7">
        <f>IF(J11="VÁLIDO",A11,"")</f>
        <v/>
      </c>
      <c r="I11" s="9" t="inlineStr"/>
      <c r="J11" s="7">
        <f>IF(COUNTA($D11,$E11)=0,"",IF($G11="ANULADO","ANULADO",IF($D11=$E11,"ERROR: MISMO EJEMPLAR",IF(IFERROR(VLOOKUP($D11,Catalogo!$A:$T,16,FALSE),"NO")&lt;&gt;"SÍ","ERROR: APORTADO NO DISPONIBLE",IF(IFERROR(VLOOKUP($E11,Catalogo!$A:$T,16,FALSE),"NO")&lt;&gt;"SÍ","ERROR: ENTREGADO NO DISPONIBLE",IF(COUNTIFS($D$4:$D$103,$D11,$G$4:$G$103,"REGISTRADO",$A$4:$A$103,"&lt;&gt;"&amp;$A11)+COUNTIFS($E$4:$E$103,$D11,$G$4:$G$103,"REGISTRADO",$A$4:$A$103,"&lt;&gt;"&amp;$A11)&gt;0,"ERROR: APORTADO YA USADO",IF(COUNTIFS($D$4:$D$103,$E11,$G$4:$G$103,"REGISTRADO",$A$4:$A$103,"&lt;&gt;"&amp;$A11)+COUNTIFS($E$4:$E$103,$E11,$G$4:$G$103,"REGISTRADO",$A$4:$A$103,"&lt;&gt;"&amp;$A11)&gt;0,"ERROR: ENTREGADO YA USADO","VÁLIDO")))))))</f>
        <v/>
      </c>
    </row>
    <row r="12">
      <c r="A12" s="7">
        <f>"EVT-"&amp;TEXT(ROW()-3,"000")</f>
        <v/>
      </c>
      <c r="B12" s="9" t="inlineStr"/>
      <c r="C12" s="9" t="inlineStr"/>
      <c r="D12" s="9" t="inlineStr"/>
      <c r="E12" s="9" t="inlineStr"/>
      <c r="F12" s="9" t="inlineStr"/>
      <c r="G12" s="7" t="inlineStr">
        <is>
          <t>REGISTRADO</t>
        </is>
      </c>
      <c r="H12" s="7">
        <f>IF(J12="VÁLIDO",A12,"")</f>
        <v/>
      </c>
      <c r="I12" s="9" t="inlineStr"/>
      <c r="J12" s="7">
        <f>IF(COUNTA($D12,$E12)=0,"",IF($G12="ANULADO","ANULADO",IF($D12=$E12,"ERROR: MISMO EJEMPLAR",IF(IFERROR(VLOOKUP($D12,Catalogo!$A:$T,16,FALSE),"NO")&lt;&gt;"SÍ","ERROR: APORTADO NO DISPONIBLE",IF(IFERROR(VLOOKUP($E12,Catalogo!$A:$T,16,FALSE),"NO")&lt;&gt;"SÍ","ERROR: ENTREGADO NO DISPONIBLE",IF(COUNTIFS($D$4:$D$103,$D12,$G$4:$G$103,"REGISTRADO",$A$4:$A$103,"&lt;&gt;"&amp;$A12)+COUNTIFS($E$4:$E$103,$D12,$G$4:$G$103,"REGISTRADO",$A$4:$A$103,"&lt;&gt;"&amp;$A12)&gt;0,"ERROR: APORTADO YA USADO",IF(COUNTIFS($D$4:$D$103,$E12,$G$4:$G$103,"REGISTRADO",$A$4:$A$103,"&lt;&gt;"&amp;$A12)+COUNTIFS($E$4:$E$103,$E12,$G$4:$G$103,"REGISTRADO",$A$4:$A$103,"&lt;&gt;"&amp;$A12)&gt;0,"ERROR: ENTREGADO YA USADO","VÁLIDO")))))))</f>
        <v/>
      </c>
    </row>
    <row r="13">
      <c r="A13" s="7">
        <f>"EVT-"&amp;TEXT(ROW()-3,"000")</f>
        <v/>
      </c>
      <c r="B13" s="9" t="inlineStr"/>
      <c r="C13" s="9" t="inlineStr"/>
      <c r="D13" s="9" t="inlineStr"/>
      <c r="E13" s="9" t="inlineStr"/>
      <c r="F13" s="9" t="inlineStr"/>
      <c r="G13" s="7" t="inlineStr">
        <is>
          <t>REGISTRADO</t>
        </is>
      </c>
      <c r="H13" s="7">
        <f>IF(J13="VÁLIDO",A13,"")</f>
        <v/>
      </c>
      <c r="I13" s="9" t="inlineStr"/>
      <c r="J13" s="7">
        <f>IF(COUNTA($D13,$E13)=0,"",IF($G13="ANULADO","ANULADO",IF($D13=$E13,"ERROR: MISMO EJEMPLAR",IF(IFERROR(VLOOKUP($D13,Catalogo!$A:$T,16,FALSE),"NO")&lt;&gt;"SÍ","ERROR: APORTADO NO DISPONIBLE",IF(IFERROR(VLOOKUP($E13,Catalogo!$A:$T,16,FALSE),"NO")&lt;&gt;"SÍ","ERROR: ENTREGADO NO DISPONIBLE",IF(COUNTIFS($D$4:$D$103,$D13,$G$4:$G$103,"REGISTRADO",$A$4:$A$103,"&lt;&gt;"&amp;$A13)+COUNTIFS($E$4:$E$103,$D13,$G$4:$G$103,"REGISTRADO",$A$4:$A$103,"&lt;&gt;"&amp;$A13)&gt;0,"ERROR: APORTADO YA USADO",IF(COUNTIFS($D$4:$D$103,$E13,$G$4:$G$103,"REGISTRADO",$A$4:$A$103,"&lt;&gt;"&amp;$A13)+COUNTIFS($E$4:$E$103,$E13,$G$4:$G$103,"REGISTRADO",$A$4:$A$103,"&lt;&gt;"&amp;$A13)&gt;0,"ERROR: ENTREGADO YA USADO","VÁLIDO")))))))</f>
        <v/>
      </c>
    </row>
    <row r="14">
      <c r="A14" s="7">
        <f>"EVT-"&amp;TEXT(ROW()-3,"000")</f>
        <v/>
      </c>
      <c r="B14" s="9" t="inlineStr"/>
      <c r="C14" s="9" t="inlineStr"/>
      <c r="D14" s="9" t="inlineStr"/>
      <c r="E14" s="9" t="inlineStr"/>
      <c r="F14" s="9" t="inlineStr"/>
      <c r="G14" s="7" t="inlineStr">
        <is>
          <t>REGISTRADO</t>
        </is>
      </c>
      <c r="H14" s="7">
        <f>IF(J14="VÁLIDO",A14,"")</f>
        <v/>
      </c>
      <c r="I14" s="9" t="inlineStr"/>
      <c r="J14" s="7">
        <f>IF(COUNTA($D14,$E14)=0,"",IF($G14="ANULADO","ANULADO",IF($D14=$E14,"ERROR: MISMO EJEMPLAR",IF(IFERROR(VLOOKUP($D14,Catalogo!$A:$T,16,FALSE),"NO")&lt;&gt;"SÍ","ERROR: APORTADO NO DISPONIBLE",IF(IFERROR(VLOOKUP($E14,Catalogo!$A:$T,16,FALSE),"NO")&lt;&gt;"SÍ","ERROR: ENTREGADO NO DISPONIBLE",IF(COUNTIFS($D$4:$D$103,$D14,$G$4:$G$103,"REGISTRADO",$A$4:$A$103,"&lt;&gt;"&amp;$A14)+COUNTIFS($E$4:$E$103,$D14,$G$4:$G$103,"REGISTRADO",$A$4:$A$103,"&lt;&gt;"&amp;$A14)&gt;0,"ERROR: APORTADO YA USADO",IF(COUNTIFS($D$4:$D$103,$E14,$G$4:$G$103,"REGISTRADO",$A$4:$A$103,"&lt;&gt;"&amp;$A14)+COUNTIFS($E$4:$E$103,$E14,$G$4:$G$103,"REGISTRADO",$A$4:$A$103,"&lt;&gt;"&amp;$A14)&gt;0,"ERROR: ENTREGADO YA USADO","VÁLIDO")))))))</f>
        <v/>
      </c>
    </row>
    <row r="15">
      <c r="A15" s="7">
        <f>"EVT-"&amp;TEXT(ROW()-3,"000")</f>
        <v/>
      </c>
      <c r="B15" s="9" t="inlineStr"/>
      <c r="C15" s="9" t="inlineStr"/>
      <c r="D15" s="9" t="inlineStr"/>
      <c r="E15" s="9" t="inlineStr"/>
      <c r="F15" s="9" t="inlineStr"/>
      <c r="G15" s="7" t="inlineStr">
        <is>
          <t>REGISTRADO</t>
        </is>
      </c>
      <c r="H15" s="7">
        <f>IF(J15="VÁLIDO",A15,"")</f>
        <v/>
      </c>
      <c r="I15" s="9" t="inlineStr"/>
      <c r="J15" s="7">
        <f>IF(COUNTA($D15,$E15)=0,"",IF($G15="ANULADO","ANULADO",IF($D15=$E15,"ERROR: MISMO EJEMPLAR",IF(IFERROR(VLOOKUP($D15,Catalogo!$A:$T,16,FALSE),"NO")&lt;&gt;"SÍ","ERROR: APORTADO NO DISPONIBLE",IF(IFERROR(VLOOKUP($E15,Catalogo!$A:$T,16,FALSE),"NO")&lt;&gt;"SÍ","ERROR: ENTREGADO NO DISPONIBLE",IF(COUNTIFS($D$4:$D$103,$D15,$G$4:$G$103,"REGISTRADO",$A$4:$A$103,"&lt;&gt;"&amp;$A15)+COUNTIFS($E$4:$E$103,$D15,$G$4:$G$103,"REGISTRADO",$A$4:$A$103,"&lt;&gt;"&amp;$A15)&gt;0,"ERROR: APORTADO YA USADO",IF(COUNTIFS($D$4:$D$103,$E15,$G$4:$G$103,"REGISTRADO",$A$4:$A$103,"&lt;&gt;"&amp;$A15)+COUNTIFS($E$4:$E$103,$E15,$G$4:$G$103,"REGISTRADO",$A$4:$A$103,"&lt;&gt;"&amp;$A15)&gt;0,"ERROR: ENTREGADO YA USADO","VÁLIDO")))))))</f>
        <v/>
      </c>
    </row>
    <row r="16">
      <c r="A16" s="7">
        <f>"EVT-"&amp;TEXT(ROW()-3,"000")</f>
        <v/>
      </c>
      <c r="B16" s="9" t="inlineStr"/>
      <c r="C16" s="9" t="inlineStr"/>
      <c r="D16" s="9" t="inlineStr"/>
      <c r="E16" s="9" t="inlineStr"/>
      <c r="F16" s="9" t="inlineStr"/>
      <c r="G16" s="7" t="inlineStr">
        <is>
          <t>REGISTRADO</t>
        </is>
      </c>
      <c r="H16" s="7">
        <f>IF(J16="VÁLIDO",A16,"")</f>
        <v/>
      </c>
      <c r="I16" s="9" t="inlineStr"/>
      <c r="J16" s="7">
        <f>IF(COUNTA($D16,$E16)=0,"",IF($G16="ANULADO","ANULADO",IF($D16=$E16,"ERROR: MISMO EJEMPLAR",IF(IFERROR(VLOOKUP($D16,Catalogo!$A:$T,16,FALSE),"NO")&lt;&gt;"SÍ","ERROR: APORTADO NO DISPONIBLE",IF(IFERROR(VLOOKUP($E16,Catalogo!$A:$T,16,FALSE),"NO")&lt;&gt;"SÍ","ERROR: ENTREGADO NO DISPONIBLE",IF(COUNTIFS($D$4:$D$103,$D16,$G$4:$G$103,"REGISTRADO",$A$4:$A$103,"&lt;&gt;"&amp;$A16)+COUNTIFS($E$4:$E$103,$D16,$G$4:$G$103,"REGISTRADO",$A$4:$A$103,"&lt;&gt;"&amp;$A16)&gt;0,"ERROR: APORTADO YA USADO",IF(COUNTIFS($D$4:$D$103,$E16,$G$4:$G$103,"REGISTRADO",$A$4:$A$103,"&lt;&gt;"&amp;$A16)+COUNTIFS($E$4:$E$103,$E16,$G$4:$G$103,"REGISTRADO",$A$4:$A$103,"&lt;&gt;"&amp;$A16)&gt;0,"ERROR: ENTREGADO YA USADO","VÁLIDO")))))))</f>
        <v/>
      </c>
    </row>
    <row r="17">
      <c r="A17" s="7">
        <f>"EVT-"&amp;TEXT(ROW()-3,"000")</f>
        <v/>
      </c>
      <c r="B17" s="9" t="inlineStr"/>
      <c r="C17" s="9" t="inlineStr"/>
      <c r="D17" s="9" t="inlineStr"/>
      <c r="E17" s="9" t="inlineStr"/>
      <c r="F17" s="9" t="inlineStr"/>
      <c r="G17" s="7" t="inlineStr">
        <is>
          <t>REGISTRADO</t>
        </is>
      </c>
      <c r="H17" s="7">
        <f>IF(J17="VÁLIDO",A17,"")</f>
        <v/>
      </c>
      <c r="I17" s="9" t="inlineStr"/>
      <c r="J17" s="7">
        <f>IF(COUNTA($D17,$E17)=0,"",IF($G17="ANULADO","ANULADO",IF($D17=$E17,"ERROR: MISMO EJEMPLAR",IF(IFERROR(VLOOKUP($D17,Catalogo!$A:$T,16,FALSE),"NO")&lt;&gt;"SÍ","ERROR: APORTADO NO DISPONIBLE",IF(IFERROR(VLOOKUP($E17,Catalogo!$A:$T,16,FALSE),"NO")&lt;&gt;"SÍ","ERROR: ENTREGADO NO DISPONIBLE",IF(COUNTIFS($D$4:$D$103,$D17,$G$4:$G$103,"REGISTRADO",$A$4:$A$103,"&lt;&gt;"&amp;$A17)+COUNTIFS($E$4:$E$103,$D17,$G$4:$G$103,"REGISTRADO",$A$4:$A$103,"&lt;&gt;"&amp;$A17)&gt;0,"ERROR: APORTADO YA USADO",IF(COUNTIFS($D$4:$D$103,$E17,$G$4:$G$103,"REGISTRADO",$A$4:$A$103,"&lt;&gt;"&amp;$A17)+COUNTIFS($E$4:$E$103,$E17,$G$4:$G$103,"REGISTRADO",$A$4:$A$103,"&lt;&gt;"&amp;$A17)&gt;0,"ERROR: ENTREGADO YA USADO","VÁLIDO")))))))</f>
        <v/>
      </c>
    </row>
    <row r="18">
      <c r="A18" s="7">
        <f>"EVT-"&amp;TEXT(ROW()-3,"000")</f>
        <v/>
      </c>
      <c r="B18" s="9" t="inlineStr"/>
      <c r="C18" s="9" t="inlineStr"/>
      <c r="D18" s="9" t="inlineStr"/>
      <c r="E18" s="9" t="inlineStr"/>
      <c r="F18" s="9" t="inlineStr"/>
      <c r="G18" s="7" t="inlineStr">
        <is>
          <t>REGISTRADO</t>
        </is>
      </c>
      <c r="H18" s="7">
        <f>IF(J18="VÁLIDO",A18,"")</f>
        <v/>
      </c>
      <c r="I18" s="9" t="inlineStr"/>
      <c r="J18" s="7">
        <f>IF(COUNTA($D18,$E18)=0,"",IF($G18="ANULADO","ANULADO",IF($D18=$E18,"ERROR: MISMO EJEMPLAR",IF(IFERROR(VLOOKUP($D18,Catalogo!$A:$T,16,FALSE),"NO")&lt;&gt;"SÍ","ERROR: APORTADO NO DISPONIBLE",IF(IFERROR(VLOOKUP($E18,Catalogo!$A:$T,16,FALSE),"NO")&lt;&gt;"SÍ","ERROR: ENTREGADO NO DISPONIBLE",IF(COUNTIFS($D$4:$D$103,$D18,$G$4:$G$103,"REGISTRADO",$A$4:$A$103,"&lt;&gt;"&amp;$A18)+COUNTIFS($E$4:$E$103,$D18,$G$4:$G$103,"REGISTRADO",$A$4:$A$103,"&lt;&gt;"&amp;$A18)&gt;0,"ERROR: APORTADO YA USADO",IF(COUNTIFS($D$4:$D$103,$E18,$G$4:$G$103,"REGISTRADO",$A$4:$A$103,"&lt;&gt;"&amp;$A18)+COUNTIFS($E$4:$E$103,$E18,$G$4:$G$103,"REGISTRADO",$A$4:$A$103,"&lt;&gt;"&amp;$A18)&gt;0,"ERROR: ENTREGADO YA USADO","VÁLIDO")))))))</f>
        <v/>
      </c>
    </row>
    <row r="19">
      <c r="A19" s="7">
        <f>"EVT-"&amp;TEXT(ROW()-3,"000")</f>
        <v/>
      </c>
      <c r="B19" s="9" t="inlineStr"/>
      <c r="C19" s="9" t="inlineStr"/>
      <c r="D19" s="9" t="inlineStr"/>
      <c r="E19" s="9" t="inlineStr"/>
      <c r="F19" s="9" t="inlineStr"/>
      <c r="G19" s="7" t="inlineStr">
        <is>
          <t>REGISTRADO</t>
        </is>
      </c>
      <c r="H19" s="7">
        <f>IF(J19="VÁLIDO",A19,"")</f>
        <v/>
      </c>
      <c r="I19" s="9" t="inlineStr"/>
      <c r="J19" s="7">
        <f>IF(COUNTA($D19,$E19)=0,"",IF($G19="ANULADO","ANULADO",IF($D19=$E19,"ERROR: MISMO EJEMPLAR",IF(IFERROR(VLOOKUP($D19,Catalogo!$A:$T,16,FALSE),"NO")&lt;&gt;"SÍ","ERROR: APORTADO NO DISPONIBLE",IF(IFERROR(VLOOKUP($E19,Catalogo!$A:$T,16,FALSE),"NO")&lt;&gt;"SÍ","ERROR: ENTREGADO NO DISPONIBLE",IF(COUNTIFS($D$4:$D$103,$D19,$G$4:$G$103,"REGISTRADO",$A$4:$A$103,"&lt;&gt;"&amp;$A19)+COUNTIFS($E$4:$E$103,$D19,$G$4:$G$103,"REGISTRADO",$A$4:$A$103,"&lt;&gt;"&amp;$A19)&gt;0,"ERROR: APORTADO YA USADO",IF(COUNTIFS($D$4:$D$103,$E19,$G$4:$G$103,"REGISTRADO",$A$4:$A$103,"&lt;&gt;"&amp;$A19)+COUNTIFS($E$4:$E$103,$E19,$G$4:$G$103,"REGISTRADO",$A$4:$A$103,"&lt;&gt;"&amp;$A19)&gt;0,"ERROR: ENTREGADO YA USADO","VÁLIDO")))))))</f>
        <v/>
      </c>
    </row>
    <row r="20">
      <c r="A20" s="7">
        <f>"EVT-"&amp;TEXT(ROW()-3,"000")</f>
        <v/>
      </c>
      <c r="B20" s="9" t="inlineStr"/>
      <c r="C20" s="9" t="inlineStr"/>
      <c r="D20" s="9" t="inlineStr"/>
      <c r="E20" s="9" t="inlineStr"/>
      <c r="F20" s="9" t="inlineStr"/>
      <c r="G20" s="7" t="inlineStr">
        <is>
          <t>REGISTRADO</t>
        </is>
      </c>
      <c r="H20" s="7">
        <f>IF(J20="VÁLIDO",A20,"")</f>
        <v/>
      </c>
      <c r="I20" s="9" t="inlineStr"/>
      <c r="J20" s="7">
        <f>IF(COUNTA($D20,$E20)=0,"",IF($G20="ANULADO","ANULADO",IF($D20=$E20,"ERROR: MISMO EJEMPLAR",IF(IFERROR(VLOOKUP($D20,Catalogo!$A:$T,16,FALSE),"NO")&lt;&gt;"SÍ","ERROR: APORTADO NO DISPONIBLE",IF(IFERROR(VLOOKUP($E20,Catalogo!$A:$T,16,FALSE),"NO")&lt;&gt;"SÍ","ERROR: ENTREGADO NO DISPONIBLE",IF(COUNTIFS($D$4:$D$103,$D20,$G$4:$G$103,"REGISTRADO",$A$4:$A$103,"&lt;&gt;"&amp;$A20)+COUNTIFS($E$4:$E$103,$D20,$G$4:$G$103,"REGISTRADO",$A$4:$A$103,"&lt;&gt;"&amp;$A20)&gt;0,"ERROR: APORTADO YA USADO",IF(COUNTIFS($D$4:$D$103,$E20,$G$4:$G$103,"REGISTRADO",$A$4:$A$103,"&lt;&gt;"&amp;$A20)+COUNTIFS($E$4:$E$103,$E20,$G$4:$G$103,"REGISTRADO",$A$4:$A$103,"&lt;&gt;"&amp;$A20)&gt;0,"ERROR: ENTREGADO YA USADO","VÁLIDO")))))))</f>
        <v/>
      </c>
    </row>
    <row r="21">
      <c r="A21" s="7">
        <f>"EVT-"&amp;TEXT(ROW()-3,"000")</f>
        <v/>
      </c>
      <c r="B21" s="9" t="inlineStr"/>
      <c r="C21" s="9" t="inlineStr"/>
      <c r="D21" s="9" t="inlineStr"/>
      <c r="E21" s="9" t="inlineStr"/>
      <c r="F21" s="9" t="inlineStr"/>
      <c r="G21" s="7" t="inlineStr">
        <is>
          <t>REGISTRADO</t>
        </is>
      </c>
      <c r="H21" s="7">
        <f>IF(J21="VÁLIDO",A21,"")</f>
        <v/>
      </c>
      <c r="I21" s="9" t="inlineStr"/>
      <c r="J21" s="7">
        <f>IF(COUNTA($D21,$E21)=0,"",IF($G21="ANULADO","ANULADO",IF($D21=$E21,"ERROR: MISMO EJEMPLAR",IF(IFERROR(VLOOKUP($D21,Catalogo!$A:$T,16,FALSE),"NO")&lt;&gt;"SÍ","ERROR: APORTADO NO DISPONIBLE",IF(IFERROR(VLOOKUP($E21,Catalogo!$A:$T,16,FALSE),"NO")&lt;&gt;"SÍ","ERROR: ENTREGADO NO DISPONIBLE",IF(COUNTIFS($D$4:$D$103,$D21,$G$4:$G$103,"REGISTRADO",$A$4:$A$103,"&lt;&gt;"&amp;$A21)+COUNTIFS($E$4:$E$103,$D21,$G$4:$G$103,"REGISTRADO",$A$4:$A$103,"&lt;&gt;"&amp;$A21)&gt;0,"ERROR: APORTADO YA USADO",IF(COUNTIFS($D$4:$D$103,$E21,$G$4:$G$103,"REGISTRADO",$A$4:$A$103,"&lt;&gt;"&amp;$A21)+COUNTIFS($E$4:$E$103,$E21,$G$4:$G$103,"REGISTRADO",$A$4:$A$103,"&lt;&gt;"&amp;$A21)&gt;0,"ERROR: ENTREGADO YA USADO","VÁLIDO")))))))</f>
        <v/>
      </c>
    </row>
    <row r="22">
      <c r="A22" s="7">
        <f>"EVT-"&amp;TEXT(ROW()-3,"000")</f>
        <v/>
      </c>
      <c r="B22" s="9" t="inlineStr"/>
      <c r="C22" s="9" t="inlineStr"/>
      <c r="D22" s="9" t="inlineStr"/>
      <c r="E22" s="9" t="inlineStr"/>
      <c r="F22" s="9" t="inlineStr"/>
      <c r="G22" s="7" t="inlineStr">
        <is>
          <t>REGISTRADO</t>
        </is>
      </c>
      <c r="H22" s="7">
        <f>IF(J22="VÁLIDO",A22,"")</f>
        <v/>
      </c>
      <c r="I22" s="9" t="inlineStr"/>
      <c r="J22" s="7">
        <f>IF(COUNTA($D22,$E22)=0,"",IF($G22="ANULADO","ANULADO",IF($D22=$E22,"ERROR: MISMO EJEMPLAR",IF(IFERROR(VLOOKUP($D22,Catalogo!$A:$T,16,FALSE),"NO")&lt;&gt;"SÍ","ERROR: APORTADO NO DISPONIBLE",IF(IFERROR(VLOOKUP($E22,Catalogo!$A:$T,16,FALSE),"NO")&lt;&gt;"SÍ","ERROR: ENTREGADO NO DISPONIBLE",IF(COUNTIFS($D$4:$D$103,$D22,$G$4:$G$103,"REGISTRADO",$A$4:$A$103,"&lt;&gt;"&amp;$A22)+COUNTIFS($E$4:$E$103,$D22,$G$4:$G$103,"REGISTRADO",$A$4:$A$103,"&lt;&gt;"&amp;$A22)&gt;0,"ERROR: APORTADO YA USADO",IF(COUNTIFS($D$4:$D$103,$E22,$G$4:$G$103,"REGISTRADO",$A$4:$A$103,"&lt;&gt;"&amp;$A22)+COUNTIFS($E$4:$E$103,$E22,$G$4:$G$103,"REGISTRADO",$A$4:$A$103,"&lt;&gt;"&amp;$A22)&gt;0,"ERROR: ENTREGADO YA USADO","VÁLIDO")))))))</f>
        <v/>
      </c>
    </row>
    <row r="23">
      <c r="A23" s="7">
        <f>"EVT-"&amp;TEXT(ROW()-3,"000")</f>
        <v/>
      </c>
      <c r="B23" s="9" t="inlineStr"/>
      <c r="C23" s="9" t="inlineStr"/>
      <c r="D23" s="9" t="inlineStr"/>
      <c r="E23" s="9" t="inlineStr"/>
      <c r="F23" s="9" t="inlineStr"/>
      <c r="G23" s="7" t="inlineStr">
        <is>
          <t>REGISTRADO</t>
        </is>
      </c>
      <c r="H23" s="7">
        <f>IF(J23="VÁLIDO",A23,"")</f>
        <v/>
      </c>
      <c r="I23" s="9" t="inlineStr"/>
      <c r="J23" s="7">
        <f>IF(COUNTA($D23,$E23)=0,"",IF($G23="ANULADO","ANULADO",IF($D23=$E23,"ERROR: MISMO EJEMPLAR",IF(IFERROR(VLOOKUP($D23,Catalogo!$A:$T,16,FALSE),"NO")&lt;&gt;"SÍ","ERROR: APORTADO NO DISPONIBLE",IF(IFERROR(VLOOKUP($E23,Catalogo!$A:$T,16,FALSE),"NO")&lt;&gt;"SÍ","ERROR: ENTREGADO NO DISPONIBLE",IF(COUNTIFS($D$4:$D$103,$D23,$G$4:$G$103,"REGISTRADO",$A$4:$A$103,"&lt;&gt;"&amp;$A23)+COUNTIFS($E$4:$E$103,$D23,$G$4:$G$103,"REGISTRADO",$A$4:$A$103,"&lt;&gt;"&amp;$A23)&gt;0,"ERROR: APORTADO YA USADO",IF(COUNTIFS($D$4:$D$103,$E23,$G$4:$G$103,"REGISTRADO",$A$4:$A$103,"&lt;&gt;"&amp;$A23)+COUNTIFS($E$4:$E$103,$E23,$G$4:$G$103,"REGISTRADO",$A$4:$A$103,"&lt;&gt;"&amp;$A23)&gt;0,"ERROR: ENTREGADO YA USADO","VÁLIDO")))))))</f>
        <v/>
      </c>
    </row>
    <row r="24">
      <c r="A24" s="7">
        <f>"EVT-"&amp;TEXT(ROW()-3,"000")</f>
        <v/>
      </c>
      <c r="B24" s="9" t="inlineStr"/>
      <c r="C24" s="9" t="inlineStr"/>
      <c r="D24" s="9" t="inlineStr"/>
      <c r="E24" s="9" t="inlineStr"/>
      <c r="F24" s="9" t="inlineStr"/>
      <c r="G24" s="7" t="inlineStr">
        <is>
          <t>REGISTRADO</t>
        </is>
      </c>
      <c r="H24" s="7">
        <f>IF(J24="VÁLIDO",A24,"")</f>
        <v/>
      </c>
      <c r="I24" s="9" t="inlineStr"/>
      <c r="J24" s="7">
        <f>IF(COUNTA($D24,$E24)=0,"",IF($G24="ANULADO","ANULADO",IF($D24=$E24,"ERROR: MISMO EJEMPLAR",IF(IFERROR(VLOOKUP($D24,Catalogo!$A:$T,16,FALSE),"NO")&lt;&gt;"SÍ","ERROR: APORTADO NO DISPONIBLE",IF(IFERROR(VLOOKUP($E24,Catalogo!$A:$T,16,FALSE),"NO")&lt;&gt;"SÍ","ERROR: ENTREGADO NO DISPONIBLE",IF(COUNTIFS($D$4:$D$103,$D24,$G$4:$G$103,"REGISTRADO",$A$4:$A$103,"&lt;&gt;"&amp;$A24)+COUNTIFS($E$4:$E$103,$D24,$G$4:$G$103,"REGISTRADO",$A$4:$A$103,"&lt;&gt;"&amp;$A24)&gt;0,"ERROR: APORTADO YA USADO",IF(COUNTIFS($D$4:$D$103,$E24,$G$4:$G$103,"REGISTRADO",$A$4:$A$103,"&lt;&gt;"&amp;$A24)+COUNTIFS($E$4:$E$103,$E24,$G$4:$G$103,"REGISTRADO",$A$4:$A$103,"&lt;&gt;"&amp;$A24)&gt;0,"ERROR: ENTREGADO YA USADO","VÁLIDO")))))))</f>
        <v/>
      </c>
    </row>
    <row r="25">
      <c r="A25" s="7">
        <f>"EVT-"&amp;TEXT(ROW()-3,"000")</f>
        <v/>
      </c>
      <c r="B25" s="9" t="inlineStr"/>
      <c r="C25" s="9" t="inlineStr"/>
      <c r="D25" s="9" t="inlineStr"/>
      <c r="E25" s="9" t="inlineStr"/>
      <c r="F25" s="9" t="inlineStr"/>
      <c r="G25" s="7" t="inlineStr">
        <is>
          <t>REGISTRADO</t>
        </is>
      </c>
      <c r="H25" s="7">
        <f>IF(J25="VÁLIDO",A25,"")</f>
        <v/>
      </c>
      <c r="I25" s="9" t="inlineStr"/>
      <c r="J25" s="7">
        <f>IF(COUNTA($D25,$E25)=0,"",IF($G25="ANULADO","ANULADO",IF($D25=$E25,"ERROR: MISMO EJEMPLAR",IF(IFERROR(VLOOKUP($D25,Catalogo!$A:$T,16,FALSE),"NO")&lt;&gt;"SÍ","ERROR: APORTADO NO DISPONIBLE",IF(IFERROR(VLOOKUP($E25,Catalogo!$A:$T,16,FALSE),"NO")&lt;&gt;"SÍ","ERROR: ENTREGADO NO DISPONIBLE",IF(COUNTIFS($D$4:$D$103,$D25,$G$4:$G$103,"REGISTRADO",$A$4:$A$103,"&lt;&gt;"&amp;$A25)+COUNTIFS($E$4:$E$103,$D25,$G$4:$G$103,"REGISTRADO",$A$4:$A$103,"&lt;&gt;"&amp;$A25)&gt;0,"ERROR: APORTADO YA USADO",IF(COUNTIFS($D$4:$D$103,$E25,$G$4:$G$103,"REGISTRADO",$A$4:$A$103,"&lt;&gt;"&amp;$A25)+COUNTIFS($E$4:$E$103,$E25,$G$4:$G$103,"REGISTRADO",$A$4:$A$103,"&lt;&gt;"&amp;$A25)&gt;0,"ERROR: ENTREGADO YA USADO","VÁLIDO")))))))</f>
        <v/>
      </c>
    </row>
    <row r="26">
      <c r="A26" s="7">
        <f>"EVT-"&amp;TEXT(ROW()-3,"000")</f>
        <v/>
      </c>
      <c r="B26" s="9" t="inlineStr"/>
      <c r="C26" s="9" t="inlineStr"/>
      <c r="D26" s="9" t="inlineStr"/>
      <c r="E26" s="9" t="inlineStr"/>
      <c r="F26" s="9" t="inlineStr"/>
      <c r="G26" s="7" t="inlineStr">
        <is>
          <t>REGISTRADO</t>
        </is>
      </c>
      <c r="H26" s="7">
        <f>IF(J26="VÁLIDO",A26,"")</f>
        <v/>
      </c>
      <c r="I26" s="9" t="inlineStr"/>
      <c r="J26" s="7">
        <f>IF(COUNTA($D26,$E26)=0,"",IF($G26="ANULADO","ANULADO",IF($D26=$E26,"ERROR: MISMO EJEMPLAR",IF(IFERROR(VLOOKUP($D26,Catalogo!$A:$T,16,FALSE),"NO")&lt;&gt;"SÍ","ERROR: APORTADO NO DISPONIBLE",IF(IFERROR(VLOOKUP($E26,Catalogo!$A:$T,16,FALSE),"NO")&lt;&gt;"SÍ","ERROR: ENTREGADO NO DISPONIBLE",IF(COUNTIFS($D$4:$D$103,$D26,$G$4:$G$103,"REGISTRADO",$A$4:$A$103,"&lt;&gt;"&amp;$A26)+COUNTIFS($E$4:$E$103,$D26,$G$4:$G$103,"REGISTRADO",$A$4:$A$103,"&lt;&gt;"&amp;$A26)&gt;0,"ERROR: APORTADO YA USADO",IF(COUNTIFS($D$4:$D$103,$E26,$G$4:$G$103,"REGISTRADO",$A$4:$A$103,"&lt;&gt;"&amp;$A26)+COUNTIFS($E$4:$E$103,$E26,$G$4:$G$103,"REGISTRADO",$A$4:$A$103,"&lt;&gt;"&amp;$A26)&gt;0,"ERROR: ENTREGADO YA USADO","VÁLIDO")))))))</f>
        <v/>
      </c>
    </row>
    <row r="27">
      <c r="A27" s="7">
        <f>"EVT-"&amp;TEXT(ROW()-3,"000")</f>
        <v/>
      </c>
      <c r="B27" s="9" t="inlineStr"/>
      <c r="C27" s="9" t="inlineStr"/>
      <c r="D27" s="9" t="inlineStr"/>
      <c r="E27" s="9" t="inlineStr"/>
      <c r="F27" s="9" t="inlineStr"/>
      <c r="G27" s="7" t="inlineStr">
        <is>
          <t>REGISTRADO</t>
        </is>
      </c>
      <c r="H27" s="7">
        <f>IF(J27="VÁLIDO",A27,"")</f>
        <v/>
      </c>
      <c r="I27" s="9" t="inlineStr"/>
      <c r="J27" s="7">
        <f>IF(COUNTA($D27,$E27)=0,"",IF($G27="ANULADO","ANULADO",IF($D27=$E27,"ERROR: MISMO EJEMPLAR",IF(IFERROR(VLOOKUP($D27,Catalogo!$A:$T,16,FALSE),"NO")&lt;&gt;"SÍ","ERROR: APORTADO NO DISPONIBLE",IF(IFERROR(VLOOKUP($E27,Catalogo!$A:$T,16,FALSE),"NO")&lt;&gt;"SÍ","ERROR: ENTREGADO NO DISPONIBLE",IF(COUNTIFS($D$4:$D$103,$D27,$G$4:$G$103,"REGISTRADO",$A$4:$A$103,"&lt;&gt;"&amp;$A27)+COUNTIFS($E$4:$E$103,$D27,$G$4:$G$103,"REGISTRADO",$A$4:$A$103,"&lt;&gt;"&amp;$A27)&gt;0,"ERROR: APORTADO YA USADO",IF(COUNTIFS($D$4:$D$103,$E27,$G$4:$G$103,"REGISTRADO",$A$4:$A$103,"&lt;&gt;"&amp;$A27)+COUNTIFS($E$4:$E$103,$E27,$G$4:$G$103,"REGISTRADO",$A$4:$A$103,"&lt;&gt;"&amp;$A27)&gt;0,"ERROR: ENTREGADO YA USADO","VÁLIDO")))))))</f>
        <v/>
      </c>
    </row>
    <row r="28">
      <c r="A28" s="7">
        <f>"EVT-"&amp;TEXT(ROW()-3,"000")</f>
        <v/>
      </c>
      <c r="B28" s="9" t="inlineStr"/>
      <c r="C28" s="9" t="inlineStr"/>
      <c r="D28" s="9" t="inlineStr"/>
      <c r="E28" s="9" t="inlineStr"/>
      <c r="F28" s="9" t="inlineStr"/>
      <c r="G28" s="7" t="inlineStr">
        <is>
          <t>REGISTRADO</t>
        </is>
      </c>
      <c r="H28" s="7">
        <f>IF(J28="VÁLIDO",A28,"")</f>
        <v/>
      </c>
      <c r="I28" s="9" t="inlineStr"/>
      <c r="J28" s="7">
        <f>IF(COUNTA($D28,$E28)=0,"",IF($G28="ANULADO","ANULADO",IF($D28=$E28,"ERROR: MISMO EJEMPLAR",IF(IFERROR(VLOOKUP($D28,Catalogo!$A:$T,16,FALSE),"NO")&lt;&gt;"SÍ","ERROR: APORTADO NO DISPONIBLE",IF(IFERROR(VLOOKUP($E28,Catalogo!$A:$T,16,FALSE),"NO")&lt;&gt;"SÍ","ERROR: ENTREGADO NO DISPONIBLE",IF(COUNTIFS($D$4:$D$103,$D28,$G$4:$G$103,"REGISTRADO",$A$4:$A$103,"&lt;&gt;"&amp;$A28)+COUNTIFS($E$4:$E$103,$D28,$G$4:$G$103,"REGISTRADO",$A$4:$A$103,"&lt;&gt;"&amp;$A28)&gt;0,"ERROR: APORTADO YA USADO",IF(COUNTIFS($D$4:$D$103,$E28,$G$4:$G$103,"REGISTRADO",$A$4:$A$103,"&lt;&gt;"&amp;$A28)+COUNTIFS($E$4:$E$103,$E28,$G$4:$G$103,"REGISTRADO",$A$4:$A$103,"&lt;&gt;"&amp;$A28)&gt;0,"ERROR: ENTREGADO YA USADO","VÁLIDO")))))))</f>
        <v/>
      </c>
    </row>
    <row r="29">
      <c r="A29" s="7">
        <f>"EVT-"&amp;TEXT(ROW()-3,"000")</f>
        <v/>
      </c>
      <c r="B29" s="9" t="inlineStr"/>
      <c r="C29" s="9" t="inlineStr"/>
      <c r="D29" s="9" t="inlineStr"/>
      <c r="E29" s="9" t="inlineStr"/>
      <c r="F29" s="9" t="inlineStr"/>
      <c r="G29" s="7" t="inlineStr">
        <is>
          <t>REGISTRADO</t>
        </is>
      </c>
      <c r="H29" s="7">
        <f>IF(J29="VÁLIDO",A29,"")</f>
        <v/>
      </c>
      <c r="I29" s="9" t="inlineStr"/>
      <c r="J29" s="7">
        <f>IF(COUNTA($D29,$E29)=0,"",IF($G29="ANULADO","ANULADO",IF($D29=$E29,"ERROR: MISMO EJEMPLAR",IF(IFERROR(VLOOKUP($D29,Catalogo!$A:$T,16,FALSE),"NO")&lt;&gt;"SÍ","ERROR: APORTADO NO DISPONIBLE",IF(IFERROR(VLOOKUP($E29,Catalogo!$A:$T,16,FALSE),"NO")&lt;&gt;"SÍ","ERROR: ENTREGADO NO DISPONIBLE",IF(COUNTIFS($D$4:$D$103,$D29,$G$4:$G$103,"REGISTRADO",$A$4:$A$103,"&lt;&gt;"&amp;$A29)+COUNTIFS($E$4:$E$103,$D29,$G$4:$G$103,"REGISTRADO",$A$4:$A$103,"&lt;&gt;"&amp;$A29)&gt;0,"ERROR: APORTADO YA USADO",IF(COUNTIFS($D$4:$D$103,$E29,$G$4:$G$103,"REGISTRADO",$A$4:$A$103,"&lt;&gt;"&amp;$A29)+COUNTIFS($E$4:$E$103,$E29,$G$4:$G$103,"REGISTRADO",$A$4:$A$103,"&lt;&gt;"&amp;$A29)&gt;0,"ERROR: ENTREGADO YA USADO","VÁLIDO")))))))</f>
        <v/>
      </c>
    </row>
    <row r="30">
      <c r="A30" s="7">
        <f>"EVT-"&amp;TEXT(ROW()-3,"000")</f>
        <v/>
      </c>
      <c r="B30" s="9" t="inlineStr"/>
      <c r="C30" s="9" t="inlineStr"/>
      <c r="D30" s="9" t="inlineStr"/>
      <c r="E30" s="9" t="inlineStr"/>
      <c r="F30" s="9" t="inlineStr"/>
      <c r="G30" s="7" t="inlineStr">
        <is>
          <t>REGISTRADO</t>
        </is>
      </c>
      <c r="H30" s="7">
        <f>IF(J30="VÁLIDO",A30,"")</f>
        <v/>
      </c>
      <c r="I30" s="9" t="inlineStr"/>
      <c r="J30" s="7">
        <f>IF(COUNTA($D30,$E30)=0,"",IF($G30="ANULADO","ANULADO",IF($D30=$E30,"ERROR: MISMO EJEMPLAR",IF(IFERROR(VLOOKUP($D30,Catalogo!$A:$T,16,FALSE),"NO")&lt;&gt;"SÍ","ERROR: APORTADO NO DISPONIBLE",IF(IFERROR(VLOOKUP($E30,Catalogo!$A:$T,16,FALSE),"NO")&lt;&gt;"SÍ","ERROR: ENTREGADO NO DISPONIBLE",IF(COUNTIFS($D$4:$D$103,$D30,$G$4:$G$103,"REGISTRADO",$A$4:$A$103,"&lt;&gt;"&amp;$A30)+COUNTIFS($E$4:$E$103,$D30,$G$4:$G$103,"REGISTRADO",$A$4:$A$103,"&lt;&gt;"&amp;$A30)&gt;0,"ERROR: APORTADO YA USADO",IF(COUNTIFS($D$4:$D$103,$E30,$G$4:$G$103,"REGISTRADO",$A$4:$A$103,"&lt;&gt;"&amp;$A30)+COUNTIFS($E$4:$E$103,$E30,$G$4:$G$103,"REGISTRADO",$A$4:$A$103,"&lt;&gt;"&amp;$A30)&gt;0,"ERROR: ENTREGADO YA USADO","VÁLIDO")))))))</f>
        <v/>
      </c>
    </row>
    <row r="31">
      <c r="A31" s="7">
        <f>"EVT-"&amp;TEXT(ROW()-3,"000")</f>
        <v/>
      </c>
      <c r="B31" s="9" t="inlineStr"/>
      <c r="C31" s="9" t="inlineStr"/>
      <c r="D31" s="9" t="inlineStr"/>
      <c r="E31" s="9" t="inlineStr"/>
      <c r="F31" s="9" t="inlineStr"/>
      <c r="G31" s="7" t="inlineStr">
        <is>
          <t>REGISTRADO</t>
        </is>
      </c>
      <c r="H31" s="7">
        <f>IF(J31="VÁLIDO",A31,"")</f>
        <v/>
      </c>
      <c r="I31" s="9" t="inlineStr"/>
      <c r="J31" s="7">
        <f>IF(COUNTA($D31,$E31)=0,"",IF($G31="ANULADO","ANULADO",IF($D31=$E31,"ERROR: MISMO EJEMPLAR",IF(IFERROR(VLOOKUP($D31,Catalogo!$A:$T,16,FALSE),"NO")&lt;&gt;"SÍ","ERROR: APORTADO NO DISPONIBLE",IF(IFERROR(VLOOKUP($E31,Catalogo!$A:$T,16,FALSE),"NO")&lt;&gt;"SÍ","ERROR: ENTREGADO NO DISPONIBLE",IF(COUNTIFS($D$4:$D$103,$D31,$G$4:$G$103,"REGISTRADO",$A$4:$A$103,"&lt;&gt;"&amp;$A31)+COUNTIFS($E$4:$E$103,$D31,$G$4:$G$103,"REGISTRADO",$A$4:$A$103,"&lt;&gt;"&amp;$A31)&gt;0,"ERROR: APORTADO YA USADO",IF(COUNTIFS($D$4:$D$103,$E31,$G$4:$G$103,"REGISTRADO",$A$4:$A$103,"&lt;&gt;"&amp;$A31)+COUNTIFS($E$4:$E$103,$E31,$G$4:$G$103,"REGISTRADO",$A$4:$A$103,"&lt;&gt;"&amp;$A31)&gt;0,"ERROR: ENTREGADO YA USADO","VÁLIDO")))))))</f>
        <v/>
      </c>
    </row>
    <row r="32">
      <c r="A32" s="7">
        <f>"EVT-"&amp;TEXT(ROW()-3,"000")</f>
        <v/>
      </c>
      <c r="B32" s="9" t="inlineStr"/>
      <c r="C32" s="9" t="inlineStr"/>
      <c r="D32" s="9" t="inlineStr"/>
      <c r="E32" s="9" t="inlineStr"/>
      <c r="F32" s="9" t="inlineStr"/>
      <c r="G32" s="7" t="inlineStr">
        <is>
          <t>REGISTRADO</t>
        </is>
      </c>
      <c r="H32" s="7">
        <f>IF(J32="VÁLIDO",A32,"")</f>
        <v/>
      </c>
      <c r="I32" s="9" t="inlineStr"/>
      <c r="J32" s="7">
        <f>IF(COUNTA($D32,$E32)=0,"",IF($G32="ANULADO","ANULADO",IF($D32=$E32,"ERROR: MISMO EJEMPLAR",IF(IFERROR(VLOOKUP($D32,Catalogo!$A:$T,16,FALSE),"NO")&lt;&gt;"SÍ","ERROR: APORTADO NO DISPONIBLE",IF(IFERROR(VLOOKUP($E32,Catalogo!$A:$T,16,FALSE),"NO")&lt;&gt;"SÍ","ERROR: ENTREGADO NO DISPONIBLE",IF(COUNTIFS($D$4:$D$103,$D32,$G$4:$G$103,"REGISTRADO",$A$4:$A$103,"&lt;&gt;"&amp;$A32)+COUNTIFS($E$4:$E$103,$D32,$G$4:$G$103,"REGISTRADO",$A$4:$A$103,"&lt;&gt;"&amp;$A32)&gt;0,"ERROR: APORTADO YA USADO",IF(COUNTIFS($D$4:$D$103,$E32,$G$4:$G$103,"REGISTRADO",$A$4:$A$103,"&lt;&gt;"&amp;$A32)+COUNTIFS($E$4:$E$103,$E32,$G$4:$G$103,"REGISTRADO",$A$4:$A$103,"&lt;&gt;"&amp;$A32)&gt;0,"ERROR: ENTREGADO YA USADO","VÁLIDO")))))))</f>
        <v/>
      </c>
    </row>
    <row r="33">
      <c r="A33" s="7">
        <f>"EVT-"&amp;TEXT(ROW()-3,"000")</f>
        <v/>
      </c>
      <c r="B33" s="9" t="inlineStr"/>
      <c r="C33" s="9" t="inlineStr"/>
      <c r="D33" s="9" t="inlineStr"/>
      <c r="E33" s="9" t="inlineStr"/>
      <c r="F33" s="9" t="inlineStr"/>
      <c r="G33" s="7" t="inlineStr">
        <is>
          <t>REGISTRADO</t>
        </is>
      </c>
      <c r="H33" s="7">
        <f>IF(J33="VÁLIDO",A33,"")</f>
        <v/>
      </c>
      <c r="I33" s="9" t="inlineStr"/>
      <c r="J33" s="7">
        <f>IF(COUNTA($D33,$E33)=0,"",IF($G33="ANULADO","ANULADO",IF($D33=$E33,"ERROR: MISMO EJEMPLAR",IF(IFERROR(VLOOKUP($D33,Catalogo!$A:$T,16,FALSE),"NO")&lt;&gt;"SÍ","ERROR: APORTADO NO DISPONIBLE",IF(IFERROR(VLOOKUP($E33,Catalogo!$A:$T,16,FALSE),"NO")&lt;&gt;"SÍ","ERROR: ENTREGADO NO DISPONIBLE",IF(COUNTIFS($D$4:$D$103,$D33,$G$4:$G$103,"REGISTRADO",$A$4:$A$103,"&lt;&gt;"&amp;$A33)+COUNTIFS($E$4:$E$103,$D33,$G$4:$G$103,"REGISTRADO",$A$4:$A$103,"&lt;&gt;"&amp;$A33)&gt;0,"ERROR: APORTADO YA USADO",IF(COUNTIFS($D$4:$D$103,$E33,$G$4:$G$103,"REGISTRADO",$A$4:$A$103,"&lt;&gt;"&amp;$A33)+COUNTIFS($E$4:$E$103,$E33,$G$4:$G$103,"REGISTRADO",$A$4:$A$103,"&lt;&gt;"&amp;$A33)&gt;0,"ERROR: ENTREGADO YA USADO","VÁLIDO")))))))</f>
        <v/>
      </c>
    </row>
    <row r="34">
      <c r="A34" s="7">
        <f>"EVT-"&amp;TEXT(ROW()-3,"000")</f>
        <v/>
      </c>
      <c r="B34" s="9" t="inlineStr"/>
      <c r="C34" s="9" t="inlineStr"/>
      <c r="D34" s="9" t="inlineStr"/>
      <c r="E34" s="9" t="inlineStr"/>
      <c r="F34" s="9" t="inlineStr"/>
      <c r="G34" s="7" t="inlineStr">
        <is>
          <t>REGISTRADO</t>
        </is>
      </c>
      <c r="H34" s="7">
        <f>IF(J34="VÁLIDO",A34,"")</f>
        <v/>
      </c>
      <c r="I34" s="9" t="inlineStr"/>
      <c r="J34" s="7">
        <f>IF(COUNTA($D34,$E34)=0,"",IF($G34="ANULADO","ANULADO",IF($D34=$E34,"ERROR: MISMO EJEMPLAR",IF(IFERROR(VLOOKUP($D34,Catalogo!$A:$T,16,FALSE),"NO")&lt;&gt;"SÍ","ERROR: APORTADO NO DISPONIBLE",IF(IFERROR(VLOOKUP($E34,Catalogo!$A:$T,16,FALSE),"NO")&lt;&gt;"SÍ","ERROR: ENTREGADO NO DISPONIBLE",IF(COUNTIFS($D$4:$D$103,$D34,$G$4:$G$103,"REGISTRADO",$A$4:$A$103,"&lt;&gt;"&amp;$A34)+COUNTIFS($E$4:$E$103,$D34,$G$4:$G$103,"REGISTRADO",$A$4:$A$103,"&lt;&gt;"&amp;$A34)&gt;0,"ERROR: APORTADO YA USADO",IF(COUNTIFS($D$4:$D$103,$E34,$G$4:$G$103,"REGISTRADO",$A$4:$A$103,"&lt;&gt;"&amp;$A34)+COUNTIFS($E$4:$E$103,$E34,$G$4:$G$103,"REGISTRADO",$A$4:$A$103,"&lt;&gt;"&amp;$A34)&gt;0,"ERROR: ENTREGADO YA USADO","VÁLIDO")))))))</f>
        <v/>
      </c>
    </row>
    <row r="35">
      <c r="A35" s="7">
        <f>"EVT-"&amp;TEXT(ROW()-3,"000")</f>
        <v/>
      </c>
      <c r="B35" s="9" t="inlineStr"/>
      <c r="C35" s="9" t="inlineStr"/>
      <c r="D35" s="9" t="inlineStr"/>
      <c r="E35" s="9" t="inlineStr"/>
      <c r="F35" s="9" t="inlineStr"/>
      <c r="G35" s="7" t="inlineStr">
        <is>
          <t>REGISTRADO</t>
        </is>
      </c>
      <c r="H35" s="7">
        <f>IF(J35="VÁLIDO",A35,"")</f>
        <v/>
      </c>
      <c r="I35" s="9" t="inlineStr"/>
      <c r="J35" s="7">
        <f>IF(COUNTA($D35,$E35)=0,"",IF($G35="ANULADO","ANULADO",IF($D35=$E35,"ERROR: MISMO EJEMPLAR",IF(IFERROR(VLOOKUP($D35,Catalogo!$A:$T,16,FALSE),"NO")&lt;&gt;"SÍ","ERROR: APORTADO NO DISPONIBLE",IF(IFERROR(VLOOKUP($E35,Catalogo!$A:$T,16,FALSE),"NO")&lt;&gt;"SÍ","ERROR: ENTREGADO NO DISPONIBLE",IF(COUNTIFS($D$4:$D$103,$D35,$G$4:$G$103,"REGISTRADO",$A$4:$A$103,"&lt;&gt;"&amp;$A35)+COUNTIFS($E$4:$E$103,$D35,$G$4:$G$103,"REGISTRADO",$A$4:$A$103,"&lt;&gt;"&amp;$A35)&gt;0,"ERROR: APORTADO YA USADO",IF(COUNTIFS($D$4:$D$103,$E35,$G$4:$G$103,"REGISTRADO",$A$4:$A$103,"&lt;&gt;"&amp;$A35)+COUNTIFS($E$4:$E$103,$E35,$G$4:$G$103,"REGISTRADO",$A$4:$A$103,"&lt;&gt;"&amp;$A35)&gt;0,"ERROR: ENTREGADO YA USADO","VÁLIDO")))))))</f>
        <v/>
      </c>
    </row>
    <row r="36">
      <c r="A36" s="7">
        <f>"EVT-"&amp;TEXT(ROW()-3,"000")</f>
        <v/>
      </c>
      <c r="B36" s="9" t="inlineStr"/>
      <c r="C36" s="9" t="inlineStr"/>
      <c r="D36" s="9" t="inlineStr"/>
      <c r="E36" s="9" t="inlineStr"/>
      <c r="F36" s="9" t="inlineStr"/>
      <c r="G36" s="7" t="inlineStr">
        <is>
          <t>REGISTRADO</t>
        </is>
      </c>
      <c r="H36" s="7">
        <f>IF(J36="VÁLIDO",A36,"")</f>
        <v/>
      </c>
      <c r="I36" s="9" t="inlineStr"/>
      <c r="J36" s="7">
        <f>IF(COUNTA($D36,$E36)=0,"",IF($G36="ANULADO","ANULADO",IF($D36=$E36,"ERROR: MISMO EJEMPLAR",IF(IFERROR(VLOOKUP($D36,Catalogo!$A:$T,16,FALSE),"NO")&lt;&gt;"SÍ","ERROR: APORTADO NO DISPONIBLE",IF(IFERROR(VLOOKUP($E36,Catalogo!$A:$T,16,FALSE),"NO")&lt;&gt;"SÍ","ERROR: ENTREGADO NO DISPONIBLE",IF(COUNTIFS($D$4:$D$103,$D36,$G$4:$G$103,"REGISTRADO",$A$4:$A$103,"&lt;&gt;"&amp;$A36)+COUNTIFS($E$4:$E$103,$D36,$G$4:$G$103,"REGISTRADO",$A$4:$A$103,"&lt;&gt;"&amp;$A36)&gt;0,"ERROR: APORTADO YA USADO",IF(COUNTIFS($D$4:$D$103,$E36,$G$4:$G$103,"REGISTRADO",$A$4:$A$103,"&lt;&gt;"&amp;$A36)+COUNTIFS($E$4:$E$103,$E36,$G$4:$G$103,"REGISTRADO",$A$4:$A$103,"&lt;&gt;"&amp;$A36)&gt;0,"ERROR: ENTREGADO YA USADO","VÁLIDO")))))))</f>
        <v/>
      </c>
    </row>
    <row r="37">
      <c r="A37" s="7">
        <f>"EVT-"&amp;TEXT(ROW()-3,"000")</f>
        <v/>
      </c>
      <c r="B37" s="9" t="inlineStr"/>
      <c r="C37" s="9" t="inlineStr"/>
      <c r="D37" s="9" t="inlineStr"/>
      <c r="E37" s="9" t="inlineStr"/>
      <c r="F37" s="9" t="inlineStr"/>
      <c r="G37" s="7" t="inlineStr">
        <is>
          <t>REGISTRADO</t>
        </is>
      </c>
      <c r="H37" s="7">
        <f>IF(J37="VÁLIDO",A37,"")</f>
        <v/>
      </c>
      <c r="I37" s="9" t="inlineStr"/>
      <c r="J37" s="7">
        <f>IF(COUNTA($D37,$E37)=0,"",IF($G37="ANULADO","ANULADO",IF($D37=$E37,"ERROR: MISMO EJEMPLAR",IF(IFERROR(VLOOKUP($D37,Catalogo!$A:$T,16,FALSE),"NO")&lt;&gt;"SÍ","ERROR: APORTADO NO DISPONIBLE",IF(IFERROR(VLOOKUP($E37,Catalogo!$A:$T,16,FALSE),"NO")&lt;&gt;"SÍ","ERROR: ENTREGADO NO DISPONIBLE",IF(COUNTIFS($D$4:$D$103,$D37,$G$4:$G$103,"REGISTRADO",$A$4:$A$103,"&lt;&gt;"&amp;$A37)+COUNTIFS($E$4:$E$103,$D37,$G$4:$G$103,"REGISTRADO",$A$4:$A$103,"&lt;&gt;"&amp;$A37)&gt;0,"ERROR: APORTADO YA USADO",IF(COUNTIFS($D$4:$D$103,$E37,$G$4:$G$103,"REGISTRADO",$A$4:$A$103,"&lt;&gt;"&amp;$A37)+COUNTIFS($E$4:$E$103,$E37,$G$4:$G$103,"REGISTRADO",$A$4:$A$103,"&lt;&gt;"&amp;$A37)&gt;0,"ERROR: ENTREGADO YA USADO","VÁLIDO")))))))</f>
        <v/>
      </c>
    </row>
    <row r="38">
      <c r="A38" s="7">
        <f>"EVT-"&amp;TEXT(ROW()-3,"000")</f>
        <v/>
      </c>
      <c r="B38" s="9" t="inlineStr"/>
      <c r="C38" s="9" t="inlineStr"/>
      <c r="D38" s="9" t="inlineStr"/>
      <c r="E38" s="9" t="inlineStr"/>
      <c r="F38" s="9" t="inlineStr"/>
      <c r="G38" s="7" t="inlineStr">
        <is>
          <t>REGISTRADO</t>
        </is>
      </c>
      <c r="H38" s="7">
        <f>IF(J38="VÁLIDO",A38,"")</f>
        <v/>
      </c>
      <c r="I38" s="9" t="inlineStr"/>
      <c r="J38" s="7">
        <f>IF(COUNTA($D38,$E38)=0,"",IF($G38="ANULADO","ANULADO",IF($D38=$E38,"ERROR: MISMO EJEMPLAR",IF(IFERROR(VLOOKUP($D38,Catalogo!$A:$T,16,FALSE),"NO")&lt;&gt;"SÍ","ERROR: APORTADO NO DISPONIBLE",IF(IFERROR(VLOOKUP($E38,Catalogo!$A:$T,16,FALSE),"NO")&lt;&gt;"SÍ","ERROR: ENTREGADO NO DISPONIBLE",IF(COUNTIFS($D$4:$D$103,$D38,$G$4:$G$103,"REGISTRADO",$A$4:$A$103,"&lt;&gt;"&amp;$A38)+COUNTIFS($E$4:$E$103,$D38,$G$4:$G$103,"REGISTRADO",$A$4:$A$103,"&lt;&gt;"&amp;$A38)&gt;0,"ERROR: APORTADO YA USADO",IF(COUNTIFS($D$4:$D$103,$E38,$G$4:$G$103,"REGISTRADO",$A$4:$A$103,"&lt;&gt;"&amp;$A38)+COUNTIFS($E$4:$E$103,$E38,$G$4:$G$103,"REGISTRADO",$A$4:$A$103,"&lt;&gt;"&amp;$A38)&gt;0,"ERROR: ENTREGADO YA USADO","VÁLIDO")))))))</f>
        <v/>
      </c>
    </row>
    <row r="39">
      <c r="A39" s="7">
        <f>"EVT-"&amp;TEXT(ROW()-3,"000")</f>
        <v/>
      </c>
      <c r="B39" s="9" t="inlineStr"/>
      <c r="C39" s="9" t="inlineStr"/>
      <c r="D39" s="9" t="inlineStr"/>
      <c r="E39" s="9" t="inlineStr"/>
      <c r="F39" s="9" t="inlineStr"/>
      <c r="G39" s="7" t="inlineStr">
        <is>
          <t>REGISTRADO</t>
        </is>
      </c>
      <c r="H39" s="7">
        <f>IF(J39="VÁLIDO",A39,"")</f>
        <v/>
      </c>
      <c r="I39" s="9" t="inlineStr"/>
      <c r="J39" s="7">
        <f>IF(COUNTA($D39,$E39)=0,"",IF($G39="ANULADO","ANULADO",IF($D39=$E39,"ERROR: MISMO EJEMPLAR",IF(IFERROR(VLOOKUP($D39,Catalogo!$A:$T,16,FALSE),"NO")&lt;&gt;"SÍ","ERROR: APORTADO NO DISPONIBLE",IF(IFERROR(VLOOKUP($E39,Catalogo!$A:$T,16,FALSE),"NO")&lt;&gt;"SÍ","ERROR: ENTREGADO NO DISPONIBLE",IF(COUNTIFS($D$4:$D$103,$D39,$G$4:$G$103,"REGISTRADO",$A$4:$A$103,"&lt;&gt;"&amp;$A39)+COUNTIFS($E$4:$E$103,$D39,$G$4:$G$103,"REGISTRADO",$A$4:$A$103,"&lt;&gt;"&amp;$A39)&gt;0,"ERROR: APORTADO YA USADO",IF(COUNTIFS($D$4:$D$103,$E39,$G$4:$G$103,"REGISTRADO",$A$4:$A$103,"&lt;&gt;"&amp;$A39)+COUNTIFS($E$4:$E$103,$E39,$G$4:$G$103,"REGISTRADO",$A$4:$A$103,"&lt;&gt;"&amp;$A39)&gt;0,"ERROR: ENTREGADO YA USADO","VÁLIDO")))))))</f>
        <v/>
      </c>
    </row>
    <row r="40">
      <c r="A40" s="7">
        <f>"EVT-"&amp;TEXT(ROW()-3,"000")</f>
        <v/>
      </c>
      <c r="B40" s="9" t="inlineStr"/>
      <c r="C40" s="9" t="inlineStr"/>
      <c r="D40" s="9" t="inlineStr"/>
      <c r="E40" s="9" t="inlineStr"/>
      <c r="F40" s="9" t="inlineStr"/>
      <c r="G40" s="7" t="inlineStr">
        <is>
          <t>REGISTRADO</t>
        </is>
      </c>
      <c r="H40" s="7">
        <f>IF(J40="VÁLIDO",A40,"")</f>
        <v/>
      </c>
      <c r="I40" s="9" t="inlineStr"/>
      <c r="J40" s="7">
        <f>IF(COUNTA($D40,$E40)=0,"",IF($G40="ANULADO","ANULADO",IF($D40=$E40,"ERROR: MISMO EJEMPLAR",IF(IFERROR(VLOOKUP($D40,Catalogo!$A:$T,16,FALSE),"NO")&lt;&gt;"SÍ","ERROR: APORTADO NO DISPONIBLE",IF(IFERROR(VLOOKUP($E40,Catalogo!$A:$T,16,FALSE),"NO")&lt;&gt;"SÍ","ERROR: ENTREGADO NO DISPONIBLE",IF(COUNTIFS($D$4:$D$103,$D40,$G$4:$G$103,"REGISTRADO",$A$4:$A$103,"&lt;&gt;"&amp;$A40)+COUNTIFS($E$4:$E$103,$D40,$G$4:$G$103,"REGISTRADO",$A$4:$A$103,"&lt;&gt;"&amp;$A40)&gt;0,"ERROR: APORTADO YA USADO",IF(COUNTIFS($D$4:$D$103,$E40,$G$4:$G$103,"REGISTRADO",$A$4:$A$103,"&lt;&gt;"&amp;$A40)+COUNTIFS($E$4:$E$103,$E40,$G$4:$G$103,"REGISTRADO",$A$4:$A$103,"&lt;&gt;"&amp;$A40)&gt;0,"ERROR: ENTREGADO YA USADO","VÁLIDO")))))))</f>
        <v/>
      </c>
    </row>
    <row r="41">
      <c r="A41" s="7">
        <f>"EVT-"&amp;TEXT(ROW()-3,"000")</f>
        <v/>
      </c>
      <c r="B41" s="9" t="inlineStr"/>
      <c r="C41" s="9" t="inlineStr"/>
      <c r="D41" s="9" t="inlineStr"/>
      <c r="E41" s="9" t="inlineStr"/>
      <c r="F41" s="9" t="inlineStr"/>
      <c r="G41" s="7" t="inlineStr">
        <is>
          <t>REGISTRADO</t>
        </is>
      </c>
      <c r="H41" s="7">
        <f>IF(J41="VÁLIDO",A41,"")</f>
        <v/>
      </c>
      <c r="I41" s="9" t="inlineStr"/>
      <c r="J41" s="7">
        <f>IF(COUNTA($D41,$E41)=0,"",IF($G41="ANULADO","ANULADO",IF($D41=$E41,"ERROR: MISMO EJEMPLAR",IF(IFERROR(VLOOKUP($D41,Catalogo!$A:$T,16,FALSE),"NO")&lt;&gt;"SÍ","ERROR: APORTADO NO DISPONIBLE",IF(IFERROR(VLOOKUP($E41,Catalogo!$A:$T,16,FALSE),"NO")&lt;&gt;"SÍ","ERROR: ENTREGADO NO DISPONIBLE",IF(COUNTIFS($D$4:$D$103,$D41,$G$4:$G$103,"REGISTRADO",$A$4:$A$103,"&lt;&gt;"&amp;$A41)+COUNTIFS($E$4:$E$103,$D41,$G$4:$G$103,"REGISTRADO",$A$4:$A$103,"&lt;&gt;"&amp;$A41)&gt;0,"ERROR: APORTADO YA USADO",IF(COUNTIFS($D$4:$D$103,$E41,$G$4:$G$103,"REGISTRADO",$A$4:$A$103,"&lt;&gt;"&amp;$A41)+COUNTIFS($E$4:$E$103,$E41,$G$4:$G$103,"REGISTRADO",$A$4:$A$103,"&lt;&gt;"&amp;$A41)&gt;0,"ERROR: ENTREGADO YA USADO","VÁLIDO")))))))</f>
        <v/>
      </c>
    </row>
    <row r="42">
      <c r="A42" s="7">
        <f>"EVT-"&amp;TEXT(ROW()-3,"000")</f>
        <v/>
      </c>
      <c r="B42" s="9" t="inlineStr"/>
      <c r="C42" s="9" t="inlineStr"/>
      <c r="D42" s="9" t="inlineStr"/>
      <c r="E42" s="9" t="inlineStr"/>
      <c r="F42" s="9" t="inlineStr"/>
      <c r="G42" s="7" t="inlineStr">
        <is>
          <t>REGISTRADO</t>
        </is>
      </c>
      <c r="H42" s="7">
        <f>IF(J42="VÁLIDO",A42,"")</f>
        <v/>
      </c>
      <c r="I42" s="9" t="inlineStr"/>
      <c r="J42" s="7">
        <f>IF(COUNTA($D42,$E42)=0,"",IF($G42="ANULADO","ANULADO",IF($D42=$E42,"ERROR: MISMO EJEMPLAR",IF(IFERROR(VLOOKUP($D42,Catalogo!$A:$T,16,FALSE),"NO")&lt;&gt;"SÍ","ERROR: APORTADO NO DISPONIBLE",IF(IFERROR(VLOOKUP($E42,Catalogo!$A:$T,16,FALSE),"NO")&lt;&gt;"SÍ","ERROR: ENTREGADO NO DISPONIBLE",IF(COUNTIFS($D$4:$D$103,$D42,$G$4:$G$103,"REGISTRADO",$A$4:$A$103,"&lt;&gt;"&amp;$A42)+COUNTIFS($E$4:$E$103,$D42,$G$4:$G$103,"REGISTRADO",$A$4:$A$103,"&lt;&gt;"&amp;$A42)&gt;0,"ERROR: APORTADO YA USADO",IF(COUNTIFS($D$4:$D$103,$E42,$G$4:$G$103,"REGISTRADO",$A$4:$A$103,"&lt;&gt;"&amp;$A42)+COUNTIFS($E$4:$E$103,$E42,$G$4:$G$103,"REGISTRADO",$A$4:$A$103,"&lt;&gt;"&amp;$A42)&gt;0,"ERROR: ENTREGADO YA USADO","VÁLIDO")))))))</f>
        <v/>
      </c>
    </row>
    <row r="43">
      <c r="A43" s="7">
        <f>"EVT-"&amp;TEXT(ROW()-3,"000")</f>
        <v/>
      </c>
      <c r="B43" s="9" t="inlineStr"/>
      <c r="C43" s="9" t="inlineStr"/>
      <c r="D43" s="9" t="inlineStr"/>
      <c r="E43" s="9" t="inlineStr"/>
      <c r="F43" s="9" t="inlineStr"/>
      <c r="G43" s="7" t="inlineStr">
        <is>
          <t>REGISTRADO</t>
        </is>
      </c>
      <c r="H43" s="7">
        <f>IF(J43="VÁLIDO",A43,"")</f>
        <v/>
      </c>
      <c r="I43" s="9" t="inlineStr"/>
      <c r="J43" s="7">
        <f>IF(COUNTA($D43,$E43)=0,"",IF($G43="ANULADO","ANULADO",IF($D43=$E43,"ERROR: MISMO EJEMPLAR",IF(IFERROR(VLOOKUP($D43,Catalogo!$A:$T,16,FALSE),"NO")&lt;&gt;"SÍ","ERROR: APORTADO NO DISPONIBLE",IF(IFERROR(VLOOKUP($E43,Catalogo!$A:$T,16,FALSE),"NO")&lt;&gt;"SÍ","ERROR: ENTREGADO NO DISPONIBLE",IF(COUNTIFS($D$4:$D$103,$D43,$G$4:$G$103,"REGISTRADO",$A$4:$A$103,"&lt;&gt;"&amp;$A43)+COUNTIFS($E$4:$E$103,$D43,$G$4:$G$103,"REGISTRADO",$A$4:$A$103,"&lt;&gt;"&amp;$A43)&gt;0,"ERROR: APORTADO YA USADO",IF(COUNTIFS($D$4:$D$103,$E43,$G$4:$G$103,"REGISTRADO",$A$4:$A$103,"&lt;&gt;"&amp;$A43)+COUNTIFS($E$4:$E$103,$E43,$G$4:$G$103,"REGISTRADO",$A$4:$A$103,"&lt;&gt;"&amp;$A43)&gt;0,"ERROR: ENTREGADO YA USADO","VÁLIDO")))))))</f>
        <v/>
      </c>
    </row>
    <row r="44">
      <c r="A44" s="7">
        <f>"EVT-"&amp;TEXT(ROW()-3,"000")</f>
        <v/>
      </c>
      <c r="B44" s="9" t="inlineStr"/>
      <c r="C44" s="9" t="inlineStr"/>
      <c r="D44" s="9" t="inlineStr"/>
      <c r="E44" s="9" t="inlineStr"/>
      <c r="F44" s="9" t="inlineStr"/>
      <c r="G44" s="7" t="inlineStr">
        <is>
          <t>REGISTRADO</t>
        </is>
      </c>
      <c r="H44" s="7">
        <f>IF(J44="VÁLIDO",A44,"")</f>
        <v/>
      </c>
      <c r="I44" s="9" t="inlineStr"/>
      <c r="J44" s="7">
        <f>IF(COUNTA($D44,$E44)=0,"",IF($G44="ANULADO","ANULADO",IF($D44=$E44,"ERROR: MISMO EJEMPLAR",IF(IFERROR(VLOOKUP($D44,Catalogo!$A:$T,16,FALSE),"NO")&lt;&gt;"SÍ","ERROR: APORTADO NO DISPONIBLE",IF(IFERROR(VLOOKUP($E44,Catalogo!$A:$T,16,FALSE),"NO")&lt;&gt;"SÍ","ERROR: ENTREGADO NO DISPONIBLE",IF(COUNTIFS($D$4:$D$103,$D44,$G$4:$G$103,"REGISTRADO",$A$4:$A$103,"&lt;&gt;"&amp;$A44)+COUNTIFS($E$4:$E$103,$D44,$G$4:$G$103,"REGISTRADO",$A$4:$A$103,"&lt;&gt;"&amp;$A44)&gt;0,"ERROR: APORTADO YA USADO",IF(COUNTIFS($D$4:$D$103,$E44,$G$4:$G$103,"REGISTRADO",$A$4:$A$103,"&lt;&gt;"&amp;$A44)+COUNTIFS($E$4:$E$103,$E44,$G$4:$G$103,"REGISTRADO",$A$4:$A$103,"&lt;&gt;"&amp;$A44)&gt;0,"ERROR: ENTREGADO YA USADO","VÁLIDO")))))))</f>
        <v/>
      </c>
    </row>
    <row r="45">
      <c r="A45" s="7">
        <f>"EVT-"&amp;TEXT(ROW()-3,"000")</f>
        <v/>
      </c>
      <c r="B45" s="9" t="inlineStr"/>
      <c r="C45" s="9" t="inlineStr"/>
      <c r="D45" s="9" t="inlineStr"/>
      <c r="E45" s="9" t="inlineStr"/>
      <c r="F45" s="9" t="inlineStr"/>
      <c r="G45" s="7" t="inlineStr">
        <is>
          <t>REGISTRADO</t>
        </is>
      </c>
      <c r="H45" s="7">
        <f>IF(J45="VÁLIDO",A45,"")</f>
        <v/>
      </c>
      <c r="I45" s="9" t="inlineStr"/>
      <c r="J45" s="7">
        <f>IF(COUNTA($D45,$E45)=0,"",IF($G45="ANULADO","ANULADO",IF($D45=$E45,"ERROR: MISMO EJEMPLAR",IF(IFERROR(VLOOKUP($D45,Catalogo!$A:$T,16,FALSE),"NO")&lt;&gt;"SÍ","ERROR: APORTADO NO DISPONIBLE",IF(IFERROR(VLOOKUP($E45,Catalogo!$A:$T,16,FALSE),"NO")&lt;&gt;"SÍ","ERROR: ENTREGADO NO DISPONIBLE",IF(COUNTIFS($D$4:$D$103,$D45,$G$4:$G$103,"REGISTRADO",$A$4:$A$103,"&lt;&gt;"&amp;$A45)+COUNTIFS($E$4:$E$103,$D45,$G$4:$G$103,"REGISTRADO",$A$4:$A$103,"&lt;&gt;"&amp;$A45)&gt;0,"ERROR: APORTADO YA USADO",IF(COUNTIFS($D$4:$D$103,$E45,$G$4:$G$103,"REGISTRADO",$A$4:$A$103,"&lt;&gt;"&amp;$A45)+COUNTIFS($E$4:$E$103,$E45,$G$4:$G$103,"REGISTRADO",$A$4:$A$103,"&lt;&gt;"&amp;$A45)&gt;0,"ERROR: ENTREGADO YA USADO","VÁLIDO")))))))</f>
        <v/>
      </c>
    </row>
    <row r="46">
      <c r="A46" s="7">
        <f>"EVT-"&amp;TEXT(ROW()-3,"000")</f>
        <v/>
      </c>
      <c r="B46" s="9" t="inlineStr"/>
      <c r="C46" s="9" t="inlineStr"/>
      <c r="D46" s="9" t="inlineStr"/>
      <c r="E46" s="9" t="inlineStr"/>
      <c r="F46" s="9" t="inlineStr"/>
      <c r="G46" s="7" t="inlineStr">
        <is>
          <t>REGISTRADO</t>
        </is>
      </c>
      <c r="H46" s="7">
        <f>IF(J46="VÁLIDO",A46,"")</f>
        <v/>
      </c>
      <c r="I46" s="9" t="inlineStr"/>
      <c r="J46" s="7">
        <f>IF(COUNTA($D46,$E46)=0,"",IF($G46="ANULADO","ANULADO",IF($D46=$E46,"ERROR: MISMO EJEMPLAR",IF(IFERROR(VLOOKUP($D46,Catalogo!$A:$T,16,FALSE),"NO")&lt;&gt;"SÍ","ERROR: APORTADO NO DISPONIBLE",IF(IFERROR(VLOOKUP($E46,Catalogo!$A:$T,16,FALSE),"NO")&lt;&gt;"SÍ","ERROR: ENTREGADO NO DISPONIBLE",IF(COUNTIFS($D$4:$D$103,$D46,$G$4:$G$103,"REGISTRADO",$A$4:$A$103,"&lt;&gt;"&amp;$A46)+COUNTIFS($E$4:$E$103,$D46,$G$4:$G$103,"REGISTRADO",$A$4:$A$103,"&lt;&gt;"&amp;$A46)&gt;0,"ERROR: APORTADO YA USADO",IF(COUNTIFS($D$4:$D$103,$E46,$G$4:$G$103,"REGISTRADO",$A$4:$A$103,"&lt;&gt;"&amp;$A46)+COUNTIFS($E$4:$E$103,$E46,$G$4:$G$103,"REGISTRADO",$A$4:$A$103,"&lt;&gt;"&amp;$A46)&gt;0,"ERROR: ENTREGADO YA USADO","VÁLIDO")))))))</f>
        <v/>
      </c>
    </row>
    <row r="47">
      <c r="A47" s="7">
        <f>"EVT-"&amp;TEXT(ROW()-3,"000")</f>
        <v/>
      </c>
      <c r="B47" s="9" t="inlineStr"/>
      <c r="C47" s="9" t="inlineStr"/>
      <c r="D47" s="9" t="inlineStr"/>
      <c r="E47" s="9" t="inlineStr"/>
      <c r="F47" s="9" t="inlineStr"/>
      <c r="G47" s="7" t="inlineStr">
        <is>
          <t>REGISTRADO</t>
        </is>
      </c>
      <c r="H47" s="7">
        <f>IF(J47="VÁLIDO",A47,"")</f>
        <v/>
      </c>
      <c r="I47" s="9" t="inlineStr"/>
      <c r="J47" s="7">
        <f>IF(COUNTA($D47,$E47)=0,"",IF($G47="ANULADO","ANULADO",IF($D47=$E47,"ERROR: MISMO EJEMPLAR",IF(IFERROR(VLOOKUP($D47,Catalogo!$A:$T,16,FALSE),"NO")&lt;&gt;"SÍ","ERROR: APORTADO NO DISPONIBLE",IF(IFERROR(VLOOKUP($E47,Catalogo!$A:$T,16,FALSE),"NO")&lt;&gt;"SÍ","ERROR: ENTREGADO NO DISPONIBLE",IF(COUNTIFS($D$4:$D$103,$D47,$G$4:$G$103,"REGISTRADO",$A$4:$A$103,"&lt;&gt;"&amp;$A47)+COUNTIFS($E$4:$E$103,$D47,$G$4:$G$103,"REGISTRADO",$A$4:$A$103,"&lt;&gt;"&amp;$A47)&gt;0,"ERROR: APORTADO YA USADO",IF(COUNTIFS($D$4:$D$103,$E47,$G$4:$G$103,"REGISTRADO",$A$4:$A$103,"&lt;&gt;"&amp;$A47)+COUNTIFS($E$4:$E$103,$E47,$G$4:$G$103,"REGISTRADO",$A$4:$A$103,"&lt;&gt;"&amp;$A47)&gt;0,"ERROR: ENTREGADO YA USADO","VÁLIDO")))))))</f>
        <v/>
      </c>
    </row>
    <row r="48">
      <c r="A48" s="7">
        <f>"EVT-"&amp;TEXT(ROW()-3,"000")</f>
        <v/>
      </c>
      <c r="B48" s="9" t="inlineStr"/>
      <c r="C48" s="9" t="inlineStr"/>
      <c r="D48" s="9" t="inlineStr"/>
      <c r="E48" s="9" t="inlineStr"/>
      <c r="F48" s="9" t="inlineStr"/>
      <c r="G48" s="7" t="inlineStr">
        <is>
          <t>REGISTRADO</t>
        </is>
      </c>
      <c r="H48" s="7">
        <f>IF(J48="VÁLIDO",A48,"")</f>
        <v/>
      </c>
      <c r="I48" s="9" t="inlineStr"/>
      <c r="J48" s="7">
        <f>IF(COUNTA($D48,$E48)=0,"",IF($G48="ANULADO","ANULADO",IF($D48=$E48,"ERROR: MISMO EJEMPLAR",IF(IFERROR(VLOOKUP($D48,Catalogo!$A:$T,16,FALSE),"NO")&lt;&gt;"SÍ","ERROR: APORTADO NO DISPONIBLE",IF(IFERROR(VLOOKUP($E48,Catalogo!$A:$T,16,FALSE),"NO")&lt;&gt;"SÍ","ERROR: ENTREGADO NO DISPONIBLE",IF(COUNTIFS($D$4:$D$103,$D48,$G$4:$G$103,"REGISTRADO",$A$4:$A$103,"&lt;&gt;"&amp;$A48)+COUNTIFS($E$4:$E$103,$D48,$G$4:$G$103,"REGISTRADO",$A$4:$A$103,"&lt;&gt;"&amp;$A48)&gt;0,"ERROR: APORTADO YA USADO",IF(COUNTIFS($D$4:$D$103,$E48,$G$4:$G$103,"REGISTRADO",$A$4:$A$103,"&lt;&gt;"&amp;$A48)+COUNTIFS($E$4:$E$103,$E48,$G$4:$G$103,"REGISTRADO",$A$4:$A$103,"&lt;&gt;"&amp;$A48)&gt;0,"ERROR: ENTREGADO YA USADO","VÁLIDO")))))))</f>
        <v/>
      </c>
    </row>
    <row r="49">
      <c r="A49" s="7">
        <f>"EVT-"&amp;TEXT(ROW()-3,"000")</f>
        <v/>
      </c>
      <c r="B49" s="9" t="inlineStr"/>
      <c r="C49" s="9" t="inlineStr"/>
      <c r="D49" s="9" t="inlineStr"/>
      <c r="E49" s="9" t="inlineStr"/>
      <c r="F49" s="9" t="inlineStr"/>
      <c r="G49" s="7" t="inlineStr">
        <is>
          <t>REGISTRADO</t>
        </is>
      </c>
      <c r="H49" s="7">
        <f>IF(J49="VÁLIDO",A49,"")</f>
        <v/>
      </c>
      <c r="I49" s="9" t="inlineStr"/>
      <c r="J49" s="7">
        <f>IF(COUNTA($D49,$E49)=0,"",IF($G49="ANULADO","ANULADO",IF($D49=$E49,"ERROR: MISMO EJEMPLAR",IF(IFERROR(VLOOKUP($D49,Catalogo!$A:$T,16,FALSE),"NO")&lt;&gt;"SÍ","ERROR: APORTADO NO DISPONIBLE",IF(IFERROR(VLOOKUP($E49,Catalogo!$A:$T,16,FALSE),"NO")&lt;&gt;"SÍ","ERROR: ENTREGADO NO DISPONIBLE",IF(COUNTIFS($D$4:$D$103,$D49,$G$4:$G$103,"REGISTRADO",$A$4:$A$103,"&lt;&gt;"&amp;$A49)+COUNTIFS($E$4:$E$103,$D49,$G$4:$G$103,"REGISTRADO",$A$4:$A$103,"&lt;&gt;"&amp;$A49)&gt;0,"ERROR: APORTADO YA USADO",IF(COUNTIFS($D$4:$D$103,$E49,$G$4:$G$103,"REGISTRADO",$A$4:$A$103,"&lt;&gt;"&amp;$A49)+COUNTIFS($E$4:$E$103,$E49,$G$4:$G$103,"REGISTRADO",$A$4:$A$103,"&lt;&gt;"&amp;$A49)&gt;0,"ERROR: ENTREGADO YA USADO","VÁLIDO")))))))</f>
        <v/>
      </c>
    </row>
    <row r="50">
      <c r="A50" s="7">
        <f>"EVT-"&amp;TEXT(ROW()-3,"000")</f>
        <v/>
      </c>
      <c r="B50" s="9" t="inlineStr"/>
      <c r="C50" s="9" t="inlineStr"/>
      <c r="D50" s="9" t="inlineStr"/>
      <c r="E50" s="9" t="inlineStr"/>
      <c r="F50" s="9" t="inlineStr"/>
      <c r="G50" s="7" t="inlineStr">
        <is>
          <t>REGISTRADO</t>
        </is>
      </c>
      <c r="H50" s="7">
        <f>IF(J50="VÁLIDO",A50,"")</f>
        <v/>
      </c>
      <c r="I50" s="9" t="inlineStr"/>
      <c r="J50" s="7">
        <f>IF(COUNTA($D50,$E50)=0,"",IF($G50="ANULADO","ANULADO",IF($D50=$E50,"ERROR: MISMO EJEMPLAR",IF(IFERROR(VLOOKUP($D50,Catalogo!$A:$T,16,FALSE),"NO")&lt;&gt;"SÍ","ERROR: APORTADO NO DISPONIBLE",IF(IFERROR(VLOOKUP($E50,Catalogo!$A:$T,16,FALSE),"NO")&lt;&gt;"SÍ","ERROR: ENTREGADO NO DISPONIBLE",IF(COUNTIFS($D$4:$D$103,$D50,$G$4:$G$103,"REGISTRADO",$A$4:$A$103,"&lt;&gt;"&amp;$A50)+COUNTIFS($E$4:$E$103,$D50,$G$4:$G$103,"REGISTRADO",$A$4:$A$103,"&lt;&gt;"&amp;$A50)&gt;0,"ERROR: APORTADO YA USADO",IF(COUNTIFS($D$4:$D$103,$E50,$G$4:$G$103,"REGISTRADO",$A$4:$A$103,"&lt;&gt;"&amp;$A50)+COUNTIFS($E$4:$E$103,$E50,$G$4:$G$103,"REGISTRADO",$A$4:$A$103,"&lt;&gt;"&amp;$A50)&gt;0,"ERROR: ENTREGADO YA USADO","VÁLIDO")))))))</f>
        <v/>
      </c>
    </row>
    <row r="51">
      <c r="A51" s="7">
        <f>"EVT-"&amp;TEXT(ROW()-3,"000")</f>
        <v/>
      </c>
      <c r="B51" s="9" t="inlineStr"/>
      <c r="C51" s="9" t="inlineStr"/>
      <c r="D51" s="9" t="inlineStr"/>
      <c r="E51" s="9" t="inlineStr"/>
      <c r="F51" s="9" t="inlineStr"/>
      <c r="G51" s="7" t="inlineStr">
        <is>
          <t>REGISTRADO</t>
        </is>
      </c>
      <c r="H51" s="7">
        <f>IF(J51="VÁLIDO",A51,"")</f>
        <v/>
      </c>
      <c r="I51" s="9" t="inlineStr"/>
      <c r="J51" s="7">
        <f>IF(COUNTA($D51,$E51)=0,"",IF($G51="ANULADO","ANULADO",IF($D51=$E51,"ERROR: MISMO EJEMPLAR",IF(IFERROR(VLOOKUP($D51,Catalogo!$A:$T,16,FALSE),"NO")&lt;&gt;"SÍ","ERROR: APORTADO NO DISPONIBLE",IF(IFERROR(VLOOKUP($E51,Catalogo!$A:$T,16,FALSE),"NO")&lt;&gt;"SÍ","ERROR: ENTREGADO NO DISPONIBLE",IF(COUNTIFS($D$4:$D$103,$D51,$G$4:$G$103,"REGISTRADO",$A$4:$A$103,"&lt;&gt;"&amp;$A51)+COUNTIFS($E$4:$E$103,$D51,$G$4:$G$103,"REGISTRADO",$A$4:$A$103,"&lt;&gt;"&amp;$A51)&gt;0,"ERROR: APORTADO YA USADO",IF(COUNTIFS($D$4:$D$103,$E51,$G$4:$G$103,"REGISTRADO",$A$4:$A$103,"&lt;&gt;"&amp;$A51)+COUNTIFS($E$4:$E$103,$E51,$G$4:$G$103,"REGISTRADO",$A$4:$A$103,"&lt;&gt;"&amp;$A51)&gt;0,"ERROR: ENTREGADO YA USADO","VÁLIDO")))))))</f>
        <v/>
      </c>
    </row>
    <row r="52">
      <c r="A52" s="7">
        <f>"EVT-"&amp;TEXT(ROW()-3,"000")</f>
        <v/>
      </c>
      <c r="B52" s="9" t="inlineStr"/>
      <c r="C52" s="9" t="inlineStr"/>
      <c r="D52" s="9" t="inlineStr"/>
      <c r="E52" s="9" t="inlineStr"/>
      <c r="F52" s="9" t="inlineStr"/>
      <c r="G52" s="7" t="inlineStr">
        <is>
          <t>REGISTRADO</t>
        </is>
      </c>
      <c r="H52" s="7">
        <f>IF(J52="VÁLIDO",A52,"")</f>
        <v/>
      </c>
      <c r="I52" s="9" t="inlineStr"/>
      <c r="J52" s="7">
        <f>IF(COUNTA($D52,$E52)=0,"",IF($G52="ANULADO","ANULADO",IF($D52=$E52,"ERROR: MISMO EJEMPLAR",IF(IFERROR(VLOOKUP($D52,Catalogo!$A:$T,16,FALSE),"NO")&lt;&gt;"SÍ","ERROR: APORTADO NO DISPONIBLE",IF(IFERROR(VLOOKUP($E52,Catalogo!$A:$T,16,FALSE),"NO")&lt;&gt;"SÍ","ERROR: ENTREGADO NO DISPONIBLE",IF(COUNTIFS($D$4:$D$103,$D52,$G$4:$G$103,"REGISTRADO",$A$4:$A$103,"&lt;&gt;"&amp;$A52)+COUNTIFS($E$4:$E$103,$D52,$G$4:$G$103,"REGISTRADO",$A$4:$A$103,"&lt;&gt;"&amp;$A52)&gt;0,"ERROR: APORTADO YA USADO",IF(COUNTIFS($D$4:$D$103,$E52,$G$4:$G$103,"REGISTRADO",$A$4:$A$103,"&lt;&gt;"&amp;$A52)+COUNTIFS($E$4:$E$103,$E52,$G$4:$G$103,"REGISTRADO",$A$4:$A$103,"&lt;&gt;"&amp;$A52)&gt;0,"ERROR: ENTREGADO YA USADO","VÁLIDO")))))))</f>
        <v/>
      </c>
    </row>
    <row r="53">
      <c r="A53" s="7">
        <f>"EVT-"&amp;TEXT(ROW()-3,"000")</f>
        <v/>
      </c>
      <c r="B53" s="9" t="inlineStr"/>
      <c r="C53" s="9" t="inlineStr"/>
      <c r="D53" s="9" t="inlineStr"/>
      <c r="E53" s="9" t="inlineStr"/>
      <c r="F53" s="9" t="inlineStr"/>
      <c r="G53" s="7" t="inlineStr">
        <is>
          <t>REGISTRADO</t>
        </is>
      </c>
      <c r="H53" s="7">
        <f>IF(J53="VÁLIDO",A53,"")</f>
        <v/>
      </c>
      <c r="I53" s="9" t="inlineStr"/>
      <c r="J53" s="7">
        <f>IF(COUNTA($D53,$E53)=0,"",IF($G53="ANULADO","ANULADO",IF($D53=$E53,"ERROR: MISMO EJEMPLAR",IF(IFERROR(VLOOKUP($D53,Catalogo!$A:$T,16,FALSE),"NO")&lt;&gt;"SÍ","ERROR: APORTADO NO DISPONIBLE",IF(IFERROR(VLOOKUP($E53,Catalogo!$A:$T,16,FALSE),"NO")&lt;&gt;"SÍ","ERROR: ENTREGADO NO DISPONIBLE",IF(COUNTIFS($D$4:$D$103,$D53,$G$4:$G$103,"REGISTRADO",$A$4:$A$103,"&lt;&gt;"&amp;$A53)+COUNTIFS($E$4:$E$103,$D53,$G$4:$G$103,"REGISTRADO",$A$4:$A$103,"&lt;&gt;"&amp;$A53)&gt;0,"ERROR: APORTADO YA USADO",IF(COUNTIFS($D$4:$D$103,$E53,$G$4:$G$103,"REGISTRADO",$A$4:$A$103,"&lt;&gt;"&amp;$A53)+COUNTIFS($E$4:$E$103,$E53,$G$4:$G$103,"REGISTRADO",$A$4:$A$103,"&lt;&gt;"&amp;$A53)&gt;0,"ERROR: ENTREGADO YA USADO","VÁLIDO")))))))</f>
        <v/>
      </c>
    </row>
    <row r="54">
      <c r="A54" s="7">
        <f>"EVT-"&amp;TEXT(ROW()-3,"000")</f>
        <v/>
      </c>
      <c r="B54" s="9" t="inlineStr"/>
      <c r="C54" s="9" t="inlineStr"/>
      <c r="D54" s="9" t="inlineStr"/>
      <c r="E54" s="9" t="inlineStr"/>
      <c r="F54" s="9" t="inlineStr"/>
      <c r="G54" s="7" t="inlineStr">
        <is>
          <t>REGISTRADO</t>
        </is>
      </c>
      <c r="H54" s="7">
        <f>IF(J54="VÁLIDO",A54,"")</f>
        <v/>
      </c>
      <c r="I54" s="9" t="inlineStr"/>
      <c r="J54" s="7">
        <f>IF(COUNTA($D54,$E54)=0,"",IF($G54="ANULADO","ANULADO",IF($D54=$E54,"ERROR: MISMO EJEMPLAR",IF(IFERROR(VLOOKUP($D54,Catalogo!$A:$T,16,FALSE),"NO")&lt;&gt;"SÍ","ERROR: APORTADO NO DISPONIBLE",IF(IFERROR(VLOOKUP($E54,Catalogo!$A:$T,16,FALSE),"NO")&lt;&gt;"SÍ","ERROR: ENTREGADO NO DISPONIBLE",IF(COUNTIFS($D$4:$D$103,$D54,$G$4:$G$103,"REGISTRADO",$A$4:$A$103,"&lt;&gt;"&amp;$A54)+COUNTIFS($E$4:$E$103,$D54,$G$4:$G$103,"REGISTRADO",$A$4:$A$103,"&lt;&gt;"&amp;$A54)&gt;0,"ERROR: APORTADO YA USADO",IF(COUNTIFS($D$4:$D$103,$E54,$G$4:$G$103,"REGISTRADO",$A$4:$A$103,"&lt;&gt;"&amp;$A54)+COUNTIFS($E$4:$E$103,$E54,$G$4:$G$103,"REGISTRADO",$A$4:$A$103,"&lt;&gt;"&amp;$A54)&gt;0,"ERROR: ENTREGADO YA USADO","VÁLIDO")))))))</f>
        <v/>
      </c>
    </row>
    <row r="55">
      <c r="A55" s="7">
        <f>"EVT-"&amp;TEXT(ROW()-3,"000")</f>
        <v/>
      </c>
      <c r="B55" s="9" t="inlineStr"/>
      <c r="C55" s="9" t="inlineStr"/>
      <c r="D55" s="9" t="inlineStr"/>
      <c r="E55" s="9" t="inlineStr"/>
      <c r="F55" s="9" t="inlineStr"/>
      <c r="G55" s="7" t="inlineStr">
        <is>
          <t>REGISTRADO</t>
        </is>
      </c>
      <c r="H55" s="7">
        <f>IF(J55="VÁLIDO",A55,"")</f>
        <v/>
      </c>
      <c r="I55" s="9" t="inlineStr"/>
      <c r="J55" s="7">
        <f>IF(COUNTA($D55,$E55)=0,"",IF($G55="ANULADO","ANULADO",IF($D55=$E55,"ERROR: MISMO EJEMPLAR",IF(IFERROR(VLOOKUP($D55,Catalogo!$A:$T,16,FALSE),"NO")&lt;&gt;"SÍ","ERROR: APORTADO NO DISPONIBLE",IF(IFERROR(VLOOKUP($E55,Catalogo!$A:$T,16,FALSE),"NO")&lt;&gt;"SÍ","ERROR: ENTREGADO NO DISPONIBLE",IF(COUNTIFS($D$4:$D$103,$D55,$G$4:$G$103,"REGISTRADO",$A$4:$A$103,"&lt;&gt;"&amp;$A55)+COUNTIFS($E$4:$E$103,$D55,$G$4:$G$103,"REGISTRADO",$A$4:$A$103,"&lt;&gt;"&amp;$A55)&gt;0,"ERROR: APORTADO YA USADO",IF(COUNTIFS($D$4:$D$103,$E55,$G$4:$G$103,"REGISTRADO",$A$4:$A$103,"&lt;&gt;"&amp;$A55)+COUNTIFS($E$4:$E$103,$E55,$G$4:$G$103,"REGISTRADO",$A$4:$A$103,"&lt;&gt;"&amp;$A55)&gt;0,"ERROR: ENTREGADO YA USADO","VÁLIDO")))))))</f>
        <v/>
      </c>
    </row>
    <row r="56">
      <c r="A56" s="7">
        <f>"EVT-"&amp;TEXT(ROW()-3,"000")</f>
        <v/>
      </c>
      <c r="B56" s="9" t="inlineStr"/>
      <c r="C56" s="9" t="inlineStr"/>
      <c r="D56" s="9" t="inlineStr"/>
      <c r="E56" s="9" t="inlineStr"/>
      <c r="F56" s="9" t="inlineStr"/>
      <c r="G56" s="7" t="inlineStr">
        <is>
          <t>REGISTRADO</t>
        </is>
      </c>
      <c r="H56" s="7">
        <f>IF(J56="VÁLIDO",A56,"")</f>
        <v/>
      </c>
      <c r="I56" s="9" t="inlineStr"/>
      <c r="J56" s="7">
        <f>IF(COUNTA($D56,$E56)=0,"",IF($G56="ANULADO","ANULADO",IF($D56=$E56,"ERROR: MISMO EJEMPLAR",IF(IFERROR(VLOOKUP($D56,Catalogo!$A:$T,16,FALSE),"NO")&lt;&gt;"SÍ","ERROR: APORTADO NO DISPONIBLE",IF(IFERROR(VLOOKUP($E56,Catalogo!$A:$T,16,FALSE),"NO")&lt;&gt;"SÍ","ERROR: ENTREGADO NO DISPONIBLE",IF(COUNTIFS($D$4:$D$103,$D56,$G$4:$G$103,"REGISTRADO",$A$4:$A$103,"&lt;&gt;"&amp;$A56)+COUNTIFS($E$4:$E$103,$D56,$G$4:$G$103,"REGISTRADO",$A$4:$A$103,"&lt;&gt;"&amp;$A56)&gt;0,"ERROR: APORTADO YA USADO",IF(COUNTIFS($D$4:$D$103,$E56,$G$4:$G$103,"REGISTRADO",$A$4:$A$103,"&lt;&gt;"&amp;$A56)+COUNTIFS($E$4:$E$103,$E56,$G$4:$G$103,"REGISTRADO",$A$4:$A$103,"&lt;&gt;"&amp;$A56)&gt;0,"ERROR: ENTREGADO YA USADO","VÁLIDO")))))))</f>
        <v/>
      </c>
    </row>
    <row r="57">
      <c r="A57" s="7">
        <f>"EVT-"&amp;TEXT(ROW()-3,"000")</f>
        <v/>
      </c>
      <c r="B57" s="9" t="inlineStr"/>
      <c r="C57" s="9" t="inlineStr"/>
      <c r="D57" s="9" t="inlineStr"/>
      <c r="E57" s="9" t="inlineStr"/>
      <c r="F57" s="9" t="inlineStr"/>
      <c r="G57" s="7" t="inlineStr">
        <is>
          <t>REGISTRADO</t>
        </is>
      </c>
      <c r="H57" s="7">
        <f>IF(J57="VÁLIDO",A57,"")</f>
        <v/>
      </c>
      <c r="I57" s="9" t="inlineStr"/>
      <c r="J57" s="7">
        <f>IF(COUNTA($D57,$E57)=0,"",IF($G57="ANULADO","ANULADO",IF($D57=$E57,"ERROR: MISMO EJEMPLAR",IF(IFERROR(VLOOKUP($D57,Catalogo!$A:$T,16,FALSE),"NO")&lt;&gt;"SÍ","ERROR: APORTADO NO DISPONIBLE",IF(IFERROR(VLOOKUP($E57,Catalogo!$A:$T,16,FALSE),"NO")&lt;&gt;"SÍ","ERROR: ENTREGADO NO DISPONIBLE",IF(COUNTIFS($D$4:$D$103,$D57,$G$4:$G$103,"REGISTRADO",$A$4:$A$103,"&lt;&gt;"&amp;$A57)+COUNTIFS($E$4:$E$103,$D57,$G$4:$G$103,"REGISTRADO",$A$4:$A$103,"&lt;&gt;"&amp;$A57)&gt;0,"ERROR: APORTADO YA USADO",IF(COUNTIFS($D$4:$D$103,$E57,$G$4:$G$103,"REGISTRADO",$A$4:$A$103,"&lt;&gt;"&amp;$A57)+COUNTIFS($E$4:$E$103,$E57,$G$4:$G$103,"REGISTRADO",$A$4:$A$103,"&lt;&gt;"&amp;$A57)&gt;0,"ERROR: ENTREGADO YA USADO","VÁLIDO")))))))</f>
        <v/>
      </c>
    </row>
    <row r="58">
      <c r="A58" s="7">
        <f>"EVT-"&amp;TEXT(ROW()-3,"000")</f>
        <v/>
      </c>
      <c r="B58" s="9" t="inlineStr"/>
      <c r="C58" s="9" t="inlineStr"/>
      <c r="D58" s="9" t="inlineStr"/>
      <c r="E58" s="9" t="inlineStr"/>
      <c r="F58" s="9" t="inlineStr"/>
      <c r="G58" s="7" t="inlineStr">
        <is>
          <t>REGISTRADO</t>
        </is>
      </c>
      <c r="H58" s="7">
        <f>IF(J58="VÁLIDO",A58,"")</f>
        <v/>
      </c>
      <c r="I58" s="9" t="inlineStr"/>
      <c r="J58" s="7">
        <f>IF(COUNTA($D58,$E58)=0,"",IF($G58="ANULADO","ANULADO",IF($D58=$E58,"ERROR: MISMO EJEMPLAR",IF(IFERROR(VLOOKUP($D58,Catalogo!$A:$T,16,FALSE),"NO")&lt;&gt;"SÍ","ERROR: APORTADO NO DISPONIBLE",IF(IFERROR(VLOOKUP($E58,Catalogo!$A:$T,16,FALSE),"NO")&lt;&gt;"SÍ","ERROR: ENTREGADO NO DISPONIBLE",IF(COUNTIFS($D$4:$D$103,$D58,$G$4:$G$103,"REGISTRADO",$A$4:$A$103,"&lt;&gt;"&amp;$A58)+COUNTIFS($E$4:$E$103,$D58,$G$4:$G$103,"REGISTRADO",$A$4:$A$103,"&lt;&gt;"&amp;$A58)&gt;0,"ERROR: APORTADO YA USADO",IF(COUNTIFS($D$4:$D$103,$E58,$G$4:$G$103,"REGISTRADO",$A$4:$A$103,"&lt;&gt;"&amp;$A58)+COUNTIFS($E$4:$E$103,$E58,$G$4:$G$103,"REGISTRADO",$A$4:$A$103,"&lt;&gt;"&amp;$A58)&gt;0,"ERROR: ENTREGADO YA USADO","VÁLIDO")))))))</f>
        <v/>
      </c>
    </row>
    <row r="59">
      <c r="A59" s="7">
        <f>"EVT-"&amp;TEXT(ROW()-3,"000")</f>
        <v/>
      </c>
      <c r="B59" s="9" t="inlineStr"/>
      <c r="C59" s="9" t="inlineStr"/>
      <c r="D59" s="9" t="inlineStr"/>
      <c r="E59" s="9" t="inlineStr"/>
      <c r="F59" s="9" t="inlineStr"/>
      <c r="G59" s="7" t="inlineStr">
        <is>
          <t>REGISTRADO</t>
        </is>
      </c>
      <c r="H59" s="7">
        <f>IF(J59="VÁLIDO",A59,"")</f>
        <v/>
      </c>
      <c r="I59" s="9" t="inlineStr"/>
      <c r="J59" s="7">
        <f>IF(COUNTA($D59,$E59)=0,"",IF($G59="ANULADO","ANULADO",IF($D59=$E59,"ERROR: MISMO EJEMPLAR",IF(IFERROR(VLOOKUP($D59,Catalogo!$A:$T,16,FALSE),"NO")&lt;&gt;"SÍ","ERROR: APORTADO NO DISPONIBLE",IF(IFERROR(VLOOKUP($E59,Catalogo!$A:$T,16,FALSE),"NO")&lt;&gt;"SÍ","ERROR: ENTREGADO NO DISPONIBLE",IF(COUNTIFS($D$4:$D$103,$D59,$G$4:$G$103,"REGISTRADO",$A$4:$A$103,"&lt;&gt;"&amp;$A59)+COUNTIFS($E$4:$E$103,$D59,$G$4:$G$103,"REGISTRADO",$A$4:$A$103,"&lt;&gt;"&amp;$A59)&gt;0,"ERROR: APORTADO YA USADO",IF(COUNTIFS($D$4:$D$103,$E59,$G$4:$G$103,"REGISTRADO",$A$4:$A$103,"&lt;&gt;"&amp;$A59)+COUNTIFS($E$4:$E$103,$E59,$G$4:$G$103,"REGISTRADO",$A$4:$A$103,"&lt;&gt;"&amp;$A59)&gt;0,"ERROR: ENTREGADO YA USADO","VÁLIDO")))))))</f>
        <v/>
      </c>
    </row>
    <row r="60">
      <c r="A60" s="7">
        <f>"EVT-"&amp;TEXT(ROW()-3,"000")</f>
        <v/>
      </c>
      <c r="B60" s="9" t="inlineStr"/>
      <c r="C60" s="9" t="inlineStr"/>
      <c r="D60" s="9" t="inlineStr"/>
      <c r="E60" s="9" t="inlineStr"/>
      <c r="F60" s="9" t="inlineStr"/>
      <c r="G60" s="7" t="inlineStr">
        <is>
          <t>REGISTRADO</t>
        </is>
      </c>
      <c r="H60" s="7">
        <f>IF(J60="VÁLIDO",A60,"")</f>
        <v/>
      </c>
      <c r="I60" s="9" t="inlineStr"/>
      <c r="J60" s="7">
        <f>IF(COUNTA($D60,$E60)=0,"",IF($G60="ANULADO","ANULADO",IF($D60=$E60,"ERROR: MISMO EJEMPLAR",IF(IFERROR(VLOOKUP($D60,Catalogo!$A:$T,16,FALSE),"NO")&lt;&gt;"SÍ","ERROR: APORTADO NO DISPONIBLE",IF(IFERROR(VLOOKUP($E60,Catalogo!$A:$T,16,FALSE),"NO")&lt;&gt;"SÍ","ERROR: ENTREGADO NO DISPONIBLE",IF(COUNTIFS($D$4:$D$103,$D60,$G$4:$G$103,"REGISTRADO",$A$4:$A$103,"&lt;&gt;"&amp;$A60)+COUNTIFS($E$4:$E$103,$D60,$G$4:$G$103,"REGISTRADO",$A$4:$A$103,"&lt;&gt;"&amp;$A60)&gt;0,"ERROR: APORTADO YA USADO",IF(COUNTIFS($D$4:$D$103,$E60,$G$4:$G$103,"REGISTRADO",$A$4:$A$103,"&lt;&gt;"&amp;$A60)+COUNTIFS($E$4:$E$103,$E60,$G$4:$G$103,"REGISTRADO",$A$4:$A$103,"&lt;&gt;"&amp;$A60)&gt;0,"ERROR: ENTREGADO YA USADO","VÁLIDO")))))))</f>
        <v/>
      </c>
    </row>
    <row r="61">
      <c r="A61" s="7">
        <f>"EVT-"&amp;TEXT(ROW()-3,"000")</f>
        <v/>
      </c>
      <c r="B61" s="9" t="inlineStr"/>
      <c r="C61" s="9" t="inlineStr"/>
      <c r="D61" s="9" t="inlineStr"/>
      <c r="E61" s="9" t="inlineStr"/>
      <c r="F61" s="9" t="inlineStr"/>
      <c r="G61" s="7" t="inlineStr">
        <is>
          <t>REGISTRADO</t>
        </is>
      </c>
      <c r="H61" s="7">
        <f>IF(J61="VÁLIDO",A61,"")</f>
        <v/>
      </c>
      <c r="I61" s="9" t="inlineStr"/>
      <c r="J61" s="7">
        <f>IF(COUNTA($D61,$E61)=0,"",IF($G61="ANULADO","ANULADO",IF($D61=$E61,"ERROR: MISMO EJEMPLAR",IF(IFERROR(VLOOKUP($D61,Catalogo!$A:$T,16,FALSE),"NO")&lt;&gt;"SÍ","ERROR: APORTADO NO DISPONIBLE",IF(IFERROR(VLOOKUP($E61,Catalogo!$A:$T,16,FALSE),"NO")&lt;&gt;"SÍ","ERROR: ENTREGADO NO DISPONIBLE",IF(COUNTIFS($D$4:$D$103,$D61,$G$4:$G$103,"REGISTRADO",$A$4:$A$103,"&lt;&gt;"&amp;$A61)+COUNTIFS($E$4:$E$103,$D61,$G$4:$G$103,"REGISTRADO",$A$4:$A$103,"&lt;&gt;"&amp;$A61)&gt;0,"ERROR: APORTADO YA USADO",IF(COUNTIFS($D$4:$D$103,$E61,$G$4:$G$103,"REGISTRADO",$A$4:$A$103,"&lt;&gt;"&amp;$A61)+COUNTIFS($E$4:$E$103,$E61,$G$4:$G$103,"REGISTRADO",$A$4:$A$103,"&lt;&gt;"&amp;$A61)&gt;0,"ERROR: ENTREGADO YA USADO","VÁLIDO")))))))</f>
        <v/>
      </c>
    </row>
    <row r="62">
      <c r="A62" s="7">
        <f>"EVT-"&amp;TEXT(ROW()-3,"000")</f>
        <v/>
      </c>
      <c r="B62" s="9" t="inlineStr"/>
      <c r="C62" s="9" t="inlineStr"/>
      <c r="D62" s="9" t="inlineStr"/>
      <c r="E62" s="9" t="inlineStr"/>
      <c r="F62" s="9" t="inlineStr"/>
      <c r="G62" s="7" t="inlineStr">
        <is>
          <t>REGISTRADO</t>
        </is>
      </c>
      <c r="H62" s="7">
        <f>IF(J62="VÁLIDO",A62,"")</f>
        <v/>
      </c>
      <c r="I62" s="9" t="inlineStr"/>
      <c r="J62" s="7">
        <f>IF(COUNTA($D62,$E62)=0,"",IF($G62="ANULADO","ANULADO",IF($D62=$E62,"ERROR: MISMO EJEMPLAR",IF(IFERROR(VLOOKUP($D62,Catalogo!$A:$T,16,FALSE),"NO")&lt;&gt;"SÍ","ERROR: APORTADO NO DISPONIBLE",IF(IFERROR(VLOOKUP($E62,Catalogo!$A:$T,16,FALSE),"NO")&lt;&gt;"SÍ","ERROR: ENTREGADO NO DISPONIBLE",IF(COUNTIFS($D$4:$D$103,$D62,$G$4:$G$103,"REGISTRADO",$A$4:$A$103,"&lt;&gt;"&amp;$A62)+COUNTIFS($E$4:$E$103,$D62,$G$4:$G$103,"REGISTRADO",$A$4:$A$103,"&lt;&gt;"&amp;$A62)&gt;0,"ERROR: APORTADO YA USADO",IF(COUNTIFS($D$4:$D$103,$E62,$G$4:$G$103,"REGISTRADO",$A$4:$A$103,"&lt;&gt;"&amp;$A62)+COUNTIFS($E$4:$E$103,$E62,$G$4:$G$103,"REGISTRADO",$A$4:$A$103,"&lt;&gt;"&amp;$A62)&gt;0,"ERROR: ENTREGADO YA USADO","VÁLIDO")))))))</f>
        <v/>
      </c>
    </row>
    <row r="63">
      <c r="A63" s="7">
        <f>"EVT-"&amp;TEXT(ROW()-3,"000")</f>
        <v/>
      </c>
      <c r="B63" s="9" t="inlineStr"/>
      <c r="C63" s="9" t="inlineStr"/>
      <c r="D63" s="9" t="inlineStr"/>
      <c r="E63" s="9" t="inlineStr"/>
      <c r="F63" s="9" t="inlineStr"/>
      <c r="G63" s="7" t="inlineStr">
        <is>
          <t>REGISTRADO</t>
        </is>
      </c>
      <c r="H63" s="7">
        <f>IF(J63="VÁLIDO",A63,"")</f>
        <v/>
      </c>
      <c r="I63" s="9" t="inlineStr"/>
      <c r="J63" s="7">
        <f>IF(COUNTA($D63,$E63)=0,"",IF($G63="ANULADO","ANULADO",IF($D63=$E63,"ERROR: MISMO EJEMPLAR",IF(IFERROR(VLOOKUP($D63,Catalogo!$A:$T,16,FALSE),"NO")&lt;&gt;"SÍ","ERROR: APORTADO NO DISPONIBLE",IF(IFERROR(VLOOKUP($E63,Catalogo!$A:$T,16,FALSE),"NO")&lt;&gt;"SÍ","ERROR: ENTREGADO NO DISPONIBLE",IF(COUNTIFS($D$4:$D$103,$D63,$G$4:$G$103,"REGISTRADO",$A$4:$A$103,"&lt;&gt;"&amp;$A63)+COUNTIFS($E$4:$E$103,$D63,$G$4:$G$103,"REGISTRADO",$A$4:$A$103,"&lt;&gt;"&amp;$A63)&gt;0,"ERROR: APORTADO YA USADO",IF(COUNTIFS($D$4:$D$103,$E63,$G$4:$G$103,"REGISTRADO",$A$4:$A$103,"&lt;&gt;"&amp;$A63)+COUNTIFS($E$4:$E$103,$E63,$G$4:$G$103,"REGISTRADO",$A$4:$A$103,"&lt;&gt;"&amp;$A63)&gt;0,"ERROR: ENTREGADO YA USADO","VÁLIDO")))))))</f>
        <v/>
      </c>
    </row>
    <row r="64">
      <c r="A64" s="7">
        <f>"EVT-"&amp;TEXT(ROW()-3,"000")</f>
        <v/>
      </c>
      <c r="B64" s="9" t="inlineStr"/>
      <c r="C64" s="9" t="inlineStr"/>
      <c r="D64" s="9" t="inlineStr"/>
      <c r="E64" s="9" t="inlineStr"/>
      <c r="F64" s="9" t="inlineStr"/>
      <c r="G64" s="7" t="inlineStr">
        <is>
          <t>REGISTRADO</t>
        </is>
      </c>
      <c r="H64" s="7">
        <f>IF(J64="VÁLIDO",A64,"")</f>
        <v/>
      </c>
      <c r="I64" s="9" t="inlineStr"/>
      <c r="J64" s="7">
        <f>IF(COUNTA($D64,$E64)=0,"",IF($G64="ANULADO","ANULADO",IF($D64=$E64,"ERROR: MISMO EJEMPLAR",IF(IFERROR(VLOOKUP($D64,Catalogo!$A:$T,16,FALSE),"NO")&lt;&gt;"SÍ","ERROR: APORTADO NO DISPONIBLE",IF(IFERROR(VLOOKUP($E64,Catalogo!$A:$T,16,FALSE),"NO")&lt;&gt;"SÍ","ERROR: ENTREGADO NO DISPONIBLE",IF(COUNTIFS($D$4:$D$103,$D64,$G$4:$G$103,"REGISTRADO",$A$4:$A$103,"&lt;&gt;"&amp;$A64)+COUNTIFS($E$4:$E$103,$D64,$G$4:$G$103,"REGISTRADO",$A$4:$A$103,"&lt;&gt;"&amp;$A64)&gt;0,"ERROR: APORTADO YA USADO",IF(COUNTIFS($D$4:$D$103,$E64,$G$4:$G$103,"REGISTRADO",$A$4:$A$103,"&lt;&gt;"&amp;$A64)+COUNTIFS($E$4:$E$103,$E64,$G$4:$G$103,"REGISTRADO",$A$4:$A$103,"&lt;&gt;"&amp;$A64)&gt;0,"ERROR: ENTREGADO YA USADO","VÁLIDO")))))))</f>
        <v/>
      </c>
    </row>
    <row r="65">
      <c r="A65" s="7">
        <f>"EVT-"&amp;TEXT(ROW()-3,"000")</f>
        <v/>
      </c>
      <c r="B65" s="9" t="inlineStr"/>
      <c r="C65" s="9" t="inlineStr"/>
      <c r="D65" s="9" t="inlineStr"/>
      <c r="E65" s="9" t="inlineStr"/>
      <c r="F65" s="9" t="inlineStr"/>
      <c r="G65" s="7" t="inlineStr">
        <is>
          <t>REGISTRADO</t>
        </is>
      </c>
      <c r="H65" s="7">
        <f>IF(J65="VÁLIDO",A65,"")</f>
        <v/>
      </c>
      <c r="I65" s="9" t="inlineStr"/>
      <c r="J65" s="7">
        <f>IF(COUNTA($D65,$E65)=0,"",IF($G65="ANULADO","ANULADO",IF($D65=$E65,"ERROR: MISMO EJEMPLAR",IF(IFERROR(VLOOKUP($D65,Catalogo!$A:$T,16,FALSE),"NO")&lt;&gt;"SÍ","ERROR: APORTADO NO DISPONIBLE",IF(IFERROR(VLOOKUP($E65,Catalogo!$A:$T,16,FALSE),"NO")&lt;&gt;"SÍ","ERROR: ENTREGADO NO DISPONIBLE",IF(COUNTIFS($D$4:$D$103,$D65,$G$4:$G$103,"REGISTRADO",$A$4:$A$103,"&lt;&gt;"&amp;$A65)+COUNTIFS($E$4:$E$103,$D65,$G$4:$G$103,"REGISTRADO",$A$4:$A$103,"&lt;&gt;"&amp;$A65)&gt;0,"ERROR: APORTADO YA USADO",IF(COUNTIFS($D$4:$D$103,$E65,$G$4:$G$103,"REGISTRADO",$A$4:$A$103,"&lt;&gt;"&amp;$A65)+COUNTIFS($E$4:$E$103,$E65,$G$4:$G$103,"REGISTRADO",$A$4:$A$103,"&lt;&gt;"&amp;$A65)&gt;0,"ERROR: ENTREGADO YA USADO","VÁLIDO")))))))</f>
        <v/>
      </c>
    </row>
    <row r="66">
      <c r="A66" s="7">
        <f>"EVT-"&amp;TEXT(ROW()-3,"000")</f>
        <v/>
      </c>
      <c r="B66" s="9" t="inlineStr"/>
      <c r="C66" s="9" t="inlineStr"/>
      <c r="D66" s="9" t="inlineStr"/>
      <c r="E66" s="9" t="inlineStr"/>
      <c r="F66" s="9" t="inlineStr"/>
      <c r="G66" s="7" t="inlineStr">
        <is>
          <t>REGISTRADO</t>
        </is>
      </c>
      <c r="H66" s="7">
        <f>IF(J66="VÁLIDO",A66,"")</f>
        <v/>
      </c>
      <c r="I66" s="9" t="inlineStr"/>
      <c r="J66" s="7">
        <f>IF(COUNTA($D66,$E66)=0,"",IF($G66="ANULADO","ANULADO",IF($D66=$E66,"ERROR: MISMO EJEMPLAR",IF(IFERROR(VLOOKUP($D66,Catalogo!$A:$T,16,FALSE),"NO")&lt;&gt;"SÍ","ERROR: APORTADO NO DISPONIBLE",IF(IFERROR(VLOOKUP($E66,Catalogo!$A:$T,16,FALSE),"NO")&lt;&gt;"SÍ","ERROR: ENTREGADO NO DISPONIBLE",IF(COUNTIFS($D$4:$D$103,$D66,$G$4:$G$103,"REGISTRADO",$A$4:$A$103,"&lt;&gt;"&amp;$A66)+COUNTIFS($E$4:$E$103,$D66,$G$4:$G$103,"REGISTRADO",$A$4:$A$103,"&lt;&gt;"&amp;$A66)&gt;0,"ERROR: APORTADO YA USADO",IF(COUNTIFS($D$4:$D$103,$E66,$G$4:$G$103,"REGISTRADO",$A$4:$A$103,"&lt;&gt;"&amp;$A66)+COUNTIFS($E$4:$E$103,$E66,$G$4:$G$103,"REGISTRADO",$A$4:$A$103,"&lt;&gt;"&amp;$A66)&gt;0,"ERROR: ENTREGADO YA USADO","VÁLIDO")))))))</f>
        <v/>
      </c>
    </row>
    <row r="67">
      <c r="A67" s="7">
        <f>"EVT-"&amp;TEXT(ROW()-3,"000")</f>
        <v/>
      </c>
      <c r="B67" s="9" t="inlineStr"/>
      <c r="C67" s="9" t="inlineStr"/>
      <c r="D67" s="9" t="inlineStr"/>
      <c r="E67" s="9" t="inlineStr"/>
      <c r="F67" s="9" t="inlineStr"/>
      <c r="G67" s="7" t="inlineStr">
        <is>
          <t>REGISTRADO</t>
        </is>
      </c>
      <c r="H67" s="7">
        <f>IF(J67="VÁLIDO",A67,"")</f>
        <v/>
      </c>
      <c r="I67" s="9" t="inlineStr"/>
      <c r="J67" s="7">
        <f>IF(COUNTA($D67,$E67)=0,"",IF($G67="ANULADO","ANULADO",IF($D67=$E67,"ERROR: MISMO EJEMPLAR",IF(IFERROR(VLOOKUP($D67,Catalogo!$A:$T,16,FALSE),"NO")&lt;&gt;"SÍ","ERROR: APORTADO NO DISPONIBLE",IF(IFERROR(VLOOKUP($E67,Catalogo!$A:$T,16,FALSE),"NO")&lt;&gt;"SÍ","ERROR: ENTREGADO NO DISPONIBLE",IF(COUNTIFS($D$4:$D$103,$D67,$G$4:$G$103,"REGISTRADO",$A$4:$A$103,"&lt;&gt;"&amp;$A67)+COUNTIFS($E$4:$E$103,$D67,$G$4:$G$103,"REGISTRADO",$A$4:$A$103,"&lt;&gt;"&amp;$A67)&gt;0,"ERROR: APORTADO YA USADO",IF(COUNTIFS($D$4:$D$103,$E67,$G$4:$G$103,"REGISTRADO",$A$4:$A$103,"&lt;&gt;"&amp;$A67)+COUNTIFS($E$4:$E$103,$E67,$G$4:$G$103,"REGISTRADO",$A$4:$A$103,"&lt;&gt;"&amp;$A67)&gt;0,"ERROR: ENTREGADO YA USADO","VÁLIDO")))))))</f>
        <v/>
      </c>
    </row>
    <row r="68">
      <c r="A68" s="7">
        <f>"EVT-"&amp;TEXT(ROW()-3,"000")</f>
        <v/>
      </c>
      <c r="B68" s="9" t="inlineStr"/>
      <c r="C68" s="9" t="inlineStr"/>
      <c r="D68" s="9" t="inlineStr"/>
      <c r="E68" s="9" t="inlineStr"/>
      <c r="F68" s="9" t="inlineStr"/>
      <c r="G68" s="7" t="inlineStr">
        <is>
          <t>REGISTRADO</t>
        </is>
      </c>
      <c r="H68" s="7">
        <f>IF(J68="VÁLIDO",A68,"")</f>
        <v/>
      </c>
      <c r="I68" s="9" t="inlineStr"/>
      <c r="J68" s="7">
        <f>IF(COUNTA($D68,$E68)=0,"",IF($G68="ANULADO","ANULADO",IF($D68=$E68,"ERROR: MISMO EJEMPLAR",IF(IFERROR(VLOOKUP($D68,Catalogo!$A:$T,16,FALSE),"NO")&lt;&gt;"SÍ","ERROR: APORTADO NO DISPONIBLE",IF(IFERROR(VLOOKUP($E68,Catalogo!$A:$T,16,FALSE),"NO")&lt;&gt;"SÍ","ERROR: ENTREGADO NO DISPONIBLE",IF(COUNTIFS($D$4:$D$103,$D68,$G$4:$G$103,"REGISTRADO",$A$4:$A$103,"&lt;&gt;"&amp;$A68)+COUNTIFS($E$4:$E$103,$D68,$G$4:$G$103,"REGISTRADO",$A$4:$A$103,"&lt;&gt;"&amp;$A68)&gt;0,"ERROR: APORTADO YA USADO",IF(COUNTIFS($D$4:$D$103,$E68,$G$4:$G$103,"REGISTRADO",$A$4:$A$103,"&lt;&gt;"&amp;$A68)+COUNTIFS($E$4:$E$103,$E68,$G$4:$G$103,"REGISTRADO",$A$4:$A$103,"&lt;&gt;"&amp;$A68)&gt;0,"ERROR: ENTREGADO YA USADO","VÁLIDO")))))))</f>
        <v/>
      </c>
    </row>
    <row r="69">
      <c r="A69" s="7">
        <f>"EVT-"&amp;TEXT(ROW()-3,"000")</f>
        <v/>
      </c>
      <c r="B69" s="9" t="inlineStr"/>
      <c r="C69" s="9" t="inlineStr"/>
      <c r="D69" s="9" t="inlineStr"/>
      <c r="E69" s="9" t="inlineStr"/>
      <c r="F69" s="9" t="inlineStr"/>
      <c r="G69" s="7" t="inlineStr">
        <is>
          <t>REGISTRADO</t>
        </is>
      </c>
      <c r="H69" s="7">
        <f>IF(J69="VÁLIDO",A69,"")</f>
        <v/>
      </c>
      <c r="I69" s="9" t="inlineStr"/>
      <c r="J69" s="7">
        <f>IF(COUNTA($D69,$E69)=0,"",IF($G69="ANULADO","ANULADO",IF($D69=$E69,"ERROR: MISMO EJEMPLAR",IF(IFERROR(VLOOKUP($D69,Catalogo!$A:$T,16,FALSE),"NO")&lt;&gt;"SÍ","ERROR: APORTADO NO DISPONIBLE",IF(IFERROR(VLOOKUP($E69,Catalogo!$A:$T,16,FALSE),"NO")&lt;&gt;"SÍ","ERROR: ENTREGADO NO DISPONIBLE",IF(COUNTIFS($D$4:$D$103,$D69,$G$4:$G$103,"REGISTRADO",$A$4:$A$103,"&lt;&gt;"&amp;$A69)+COUNTIFS($E$4:$E$103,$D69,$G$4:$G$103,"REGISTRADO",$A$4:$A$103,"&lt;&gt;"&amp;$A69)&gt;0,"ERROR: APORTADO YA USADO",IF(COUNTIFS($D$4:$D$103,$E69,$G$4:$G$103,"REGISTRADO",$A$4:$A$103,"&lt;&gt;"&amp;$A69)+COUNTIFS($E$4:$E$103,$E69,$G$4:$G$103,"REGISTRADO",$A$4:$A$103,"&lt;&gt;"&amp;$A69)&gt;0,"ERROR: ENTREGADO YA USADO","VÁLIDO")))))))</f>
        <v/>
      </c>
    </row>
    <row r="70">
      <c r="A70" s="7">
        <f>"EVT-"&amp;TEXT(ROW()-3,"000")</f>
        <v/>
      </c>
      <c r="B70" s="9" t="inlineStr"/>
      <c r="C70" s="9" t="inlineStr"/>
      <c r="D70" s="9" t="inlineStr"/>
      <c r="E70" s="9" t="inlineStr"/>
      <c r="F70" s="9" t="inlineStr"/>
      <c r="G70" s="7" t="inlineStr">
        <is>
          <t>REGISTRADO</t>
        </is>
      </c>
      <c r="H70" s="7">
        <f>IF(J70="VÁLIDO",A70,"")</f>
        <v/>
      </c>
      <c r="I70" s="9" t="inlineStr"/>
      <c r="J70" s="7">
        <f>IF(COUNTA($D70,$E70)=0,"",IF($G70="ANULADO","ANULADO",IF($D70=$E70,"ERROR: MISMO EJEMPLAR",IF(IFERROR(VLOOKUP($D70,Catalogo!$A:$T,16,FALSE),"NO")&lt;&gt;"SÍ","ERROR: APORTADO NO DISPONIBLE",IF(IFERROR(VLOOKUP($E70,Catalogo!$A:$T,16,FALSE),"NO")&lt;&gt;"SÍ","ERROR: ENTREGADO NO DISPONIBLE",IF(COUNTIFS($D$4:$D$103,$D70,$G$4:$G$103,"REGISTRADO",$A$4:$A$103,"&lt;&gt;"&amp;$A70)+COUNTIFS($E$4:$E$103,$D70,$G$4:$G$103,"REGISTRADO",$A$4:$A$103,"&lt;&gt;"&amp;$A70)&gt;0,"ERROR: APORTADO YA USADO",IF(COUNTIFS($D$4:$D$103,$E70,$G$4:$G$103,"REGISTRADO",$A$4:$A$103,"&lt;&gt;"&amp;$A70)+COUNTIFS($E$4:$E$103,$E70,$G$4:$G$103,"REGISTRADO",$A$4:$A$103,"&lt;&gt;"&amp;$A70)&gt;0,"ERROR: ENTREGADO YA USADO","VÁLIDO")))))))</f>
        <v/>
      </c>
    </row>
    <row r="71">
      <c r="A71" s="7">
        <f>"EVT-"&amp;TEXT(ROW()-3,"000")</f>
        <v/>
      </c>
      <c r="B71" s="9" t="inlineStr"/>
      <c r="C71" s="9" t="inlineStr"/>
      <c r="D71" s="9" t="inlineStr"/>
      <c r="E71" s="9" t="inlineStr"/>
      <c r="F71" s="9" t="inlineStr"/>
      <c r="G71" s="7" t="inlineStr">
        <is>
          <t>REGISTRADO</t>
        </is>
      </c>
      <c r="H71" s="7">
        <f>IF(J71="VÁLIDO",A71,"")</f>
        <v/>
      </c>
      <c r="I71" s="9" t="inlineStr"/>
      <c r="J71" s="7">
        <f>IF(COUNTA($D71,$E71)=0,"",IF($G71="ANULADO","ANULADO",IF($D71=$E71,"ERROR: MISMO EJEMPLAR",IF(IFERROR(VLOOKUP($D71,Catalogo!$A:$T,16,FALSE),"NO")&lt;&gt;"SÍ","ERROR: APORTADO NO DISPONIBLE",IF(IFERROR(VLOOKUP($E71,Catalogo!$A:$T,16,FALSE),"NO")&lt;&gt;"SÍ","ERROR: ENTREGADO NO DISPONIBLE",IF(COUNTIFS($D$4:$D$103,$D71,$G$4:$G$103,"REGISTRADO",$A$4:$A$103,"&lt;&gt;"&amp;$A71)+COUNTIFS($E$4:$E$103,$D71,$G$4:$G$103,"REGISTRADO",$A$4:$A$103,"&lt;&gt;"&amp;$A71)&gt;0,"ERROR: APORTADO YA USADO",IF(COUNTIFS($D$4:$D$103,$E71,$G$4:$G$103,"REGISTRADO",$A$4:$A$103,"&lt;&gt;"&amp;$A71)+COUNTIFS($E$4:$E$103,$E71,$G$4:$G$103,"REGISTRADO",$A$4:$A$103,"&lt;&gt;"&amp;$A71)&gt;0,"ERROR: ENTREGADO YA USADO","VÁLIDO")))))))</f>
        <v/>
      </c>
    </row>
    <row r="72">
      <c r="A72" s="7">
        <f>"EVT-"&amp;TEXT(ROW()-3,"000")</f>
        <v/>
      </c>
      <c r="B72" s="9" t="inlineStr"/>
      <c r="C72" s="9" t="inlineStr"/>
      <c r="D72" s="9" t="inlineStr"/>
      <c r="E72" s="9" t="inlineStr"/>
      <c r="F72" s="9" t="inlineStr"/>
      <c r="G72" s="7" t="inlineStr">
        <is>
          <t>REGISTRADO</t>
        </is>
      </c>
      <c r="H72" s="7">
        <f>IF(J72="VÁLIDO",A72,"")</f>
        <v/>
      </c>
      <c r="I72" s="9" t="inlineStr"/>
      <c r="J72" s="7">
        <f>IF(COUNTA($D72,$E72)=0,"",IF($G72="ANULADO","ANULADO",IF($D72=$E72,"ERROR: MISMO EJEMPLAR",IF(IFERROR(VLOOKUP($D72,Catalogo!$A:$T,16,FALSE),"NO")&lt;&gt;"SÍ","ERROR: APORTADO NO DISPONIBLE",IF(IFERROR(VLOOKUP($E72,Catalogo!$A:$T,16,FALSE),"NO")&lt;&gt;"SÍ","ERROR: ENTREGADO NO DISPONIBLE",IF(COUNTIFS($D$4:$D$103,$D72,$G$4:$G$103,"REGISTRADO",$A$4:$A$103,"&lt;&gt;"&amp;$A72)+COUNTIFS($E$4:$E$103,$D72,$G$4:$G$103,"REGISTRADO",$A$4:$A$103,"&lt;&gt;"&amp;$A72)&gt;0,"ERROR: APORTADO YA USADO",IF(COUNTIFS($D$4:$D$103,$E72,$G$4:$G$103,"REGISTRADO",$A$4:$A$103,"&lt;&gt;"&amp;$A72)+COUNTIFS($E$4:$E$103,$E72,$G$4:$G$103,"REGISTRADO",$A$4:$A$103,"&lt;&gt;"&amp;$A72)&gt;0,"ERROR: ENTREGADO YA USADO","VÁLIDO")))))))</f>
        <v/>
      </c>
    </row>
    <row r="73">
      <c r="A73" s="7">
        <f>"EVT-"&amp;TEXT(ROW()-3,"000")</f>
        <v/>
      </c>
      <c r="B73" s="9" t="inlineStr"/>
      <c r="C73" s="9" t="inlineStr"/>
      <c r="D73" s="9" t="inlineStr"/>
      <c r="E73" s="9" t="inlineStr"/>
      <c r="F73" s="9" t="inlineStr"/>
      <c r="G73" s="7" t="inlineStr">
        <is>
          <t>REGISTRADO</t>
        </is>
      </c>
      <c r="H73" s="7">
        <f>IF(J73="VÁLIDO",A73,"")</f>
        <v/>
      </c>
      <c r="I73" s="9" t="inlineStr"/>
      <c r="J73" s="7">
        <f>IF(COUNTA($D73,$E73)=0,"",IF($G73="ANULADO","ANULADO",IF($D73=$E73,"ERROR: MISMO EJEMPLAR",IF(IFERROR(VLOOKUP($D73,Catalogo!$A:$T,16,FALSE),"NO")&lt;&gt;"SÍ","ERROR: APORTADO NO DISPONIBLE",IF(IFERROR(VLOOKUP($E73,Catalogo!$A:$T,16,FALSE),"NO")&lt;&gt;"SÍ","ERROR: ENTREGADO NO DISPONIBLE",IF(COUNTIFS($D$4:$D$103,$D73,$G$4:$G$103,"REGISTRADO",$A$4:$A$103,"&lt;&gt;"&amp;$A73)+COUNTIFS($E$4:$E$103,$D73,$G$4:$G$103,"REGISTRADO",$A$4:$A$103,"&lt;&gt;"&amp;$A73)&gt;0,"ERROR: APORTADO YA USADO",IF(COUNTIFS($D$4:$D$103,$E73,$G$4:$G$103,"REGISTRADO",$A$4:$A$103,"&lt;&gt;"&amp;$A73)+COUNTIFS($E$4:$E$103,$E73,$G$4:$G$103,"REGISTRADO",$A$4:$A$103,"&lt;&gt;"&amp;$A73)&gt;0,"ERROR: ENTREGADO YA USADO","VÁLIDO")))))))</f>
        <v/>
      </c>
    </row>
    <row r="74">
      <c r="A74" s="7">
        <f>"EVT-"&amp;TEXT(ROW()-3,"000")</f>
        <v/>
      </c>
      <c r="B74" s="9" t="inlineStr"/>
      <c r="C74" s="9" t="inlineStr"/>
      <c r="D74" s="9" t="inlineStr"/>
      <c r="E74" s="9" t="inlineStr"/>
      <c r="F74" s="9" t="inlineStr"/>
      <c r="G74" s="7" t="inlineStr">
        <is>
          <t>REGISTRADO</t>
        </is>
      </c>
      <c r="H74" s="7">
        <f>IF(J74="VÁLIDO",A74,"")</f>
        <v/>
      </c>
      <c r="I74" s="9" t="inlineStr"/>
      <c r="J74" s="7">
        <f>IF(COUNTA($D74,$E74)=0,"",IF($G74="ANULADO","ANULADO",IF($D74=$E74,"ERROR: MISMO EJEMPLAR",IF(IFERROR(VLOOKUP($D74,Catalogo!$A:$T,16,FALSE),"NO")&lt;&gt;"SÍ","ERROR: APORTADO NO DISPONIBLE",IF(IFERROR(VLOOKUP($E74,Catalogo!$A:$T,16,FALSE),"NO")&lt;&gt;"SÍ","ERROR: ENTREGADO NO DISPONIBLE",IF(COUNTIFS($D$4:$D$103,$D74,$G$4:$G$103,"REGISTRADO",$A$4:$A$103,"&lt;&gt;"&amp;$A74)+COUNTIFS($E$4:$E$103,$D74,$G$4:$G$103,"REGISTRADO",$A$4:$A$103,"&lt;&gt;"&amp;$A74)&gt;0,"ERROR: APORTADO YA USADO",IF(COUNTIFS($D$4:$D$103,$E74,$G$4:$G$103,"REGISTRADO",$A$4:$A$103,"&lt;&gt;"&amp;$A74)+COUNTIFS($E$4:$E$103,$E74,$G$4:$G$103,"REGISTRADO",$A$4:$A$103,"&lt;&gt;"&amp;$A74)&gt;0,"ERROR: ENTREGADO YA USADO","VÁLIDO")))))))</f>
        <v/>
      </c>
    </row>
    <row r="75">
      <c r="A75" s="7">
        <f>"EVT-"&amp;TEXT(ROW()-3,"000")</f>
        <v/>
      </c>
      <c r="B75" s="9" t="inlineStr"/>
      <c r="C75" s="9" t="inlineStr"/>
      <c r="D75" s="9" t="inlineStr"/>
      <c r="E75" s="9" t="inlineStr"/>
      <c r="F75" s="9" t="inlineStr"/>
      <c r="G75" s="7" t="inlineStr">
        <is>
          <t>REGISTRADO</t>
        </is>
      </c>
      <c r="H75" s="7">
        <f>IF(J75="VÁLIDO",A75,"")</f>
        <v/>
      </c>
      <c r="I75" s="9" t="inlineStr"/>
      <c r="J75" s="7">
        <f>IF(COUNTA($D75,$E75)=0,"",IF($G75="ANULADO","ANULADO",IF($D75=$E75,"ERROR: MISMO EJEMPLAR",IF(IFERROR(VLOOKUP($D75,Catalogo!$A:$T,16,FALSE),"NO")&lt;&gt;"SÍ","ERROR: APORTADO NO DISPONIBLE",IF(IFERROR(VLOOKUP($E75,Catalogo!$A:$T,16,FALSE),"NO")&lt;&gt;"SÍ","ERROR: ENTREGADO NO DISPONIBLE",IF(COUNTIFS($D$4:$D$103,$D75,$G$4:$G$103,"REGISTRADO",$A$4:$A$103,"&lt;&gt;"&amp;$A75)+COUNTIFS($E$4:$E$103,$D75,$G$4:$G$103,"REGISTRADO",$A$4:$A$103,"&lt;&gt;"&amp;$A75)&gt;0,"ERROR: APORTADO YA USADO",IF(COUNTIFS($D$4:$D$103,$E75,$G$4:$G$103,"REGISTRADO",$A$4:$A$103,"&lt;&gt;"&amp;$A75)+COUNTIFS($E$4:$E$103,$E75,$G$4:$G$103,"REGISTRADO",$A$4:$A$103,"&lt;&gt;"&amp;$A75)&gt;0,"ERROR: ENTREGADO YA USADO","VÁLIDO")))))))</f>
        <v/>
      </c>
    </row>
    <row r="76">
      <c r="A76" s="7">
        <f>"EVT-"&amp;TEXT(ROW()-3,"000")</f>
        <v/>
      </c>
      <c r="B76" s="9" t="inlineStr"/>
      <c r="C76" s="9" t="inlineStr"/>
      <c r="D76" s="9" t="inlineStr"/>
      <c r="E76" s="9" t="inlineStr"/>
      <c r="F76" s="9" t="inlineStr"/>
      <c r="G76" s="7" t="inlineStr">
        <is>
          <t>REGISTRADO</t>
        </is>
      </c>
      <c r="H76" s="7">
        <f>IF(J76="VÁLIDO",A76,"")</f>
        <v/>
      </c>
      <c r="I76" s="9" t="inlineStr"/>
      <c r="J76" s="7">
        <f>IF(COUNTA($D76,$E76)=0,"",IF($G76="ANULADO","ANULADO",IF($D76=$E76,"ERROR: MISMO EJEMPLAR",IF(IFERROR(VLOOKUP($D76,Catalogo!$A:$T,16,FALSE),"NO")&lt;&gt;"SÍ","ERROR: APORTADO NO DISPONIBLE",IF(IFERROR(VLOOKUP($E76,Catalogo!$A:$T,16,FALSE),"NO")&lt;&gt;"SÍ","ERROR: ENTREGADO NO DISPONIBLE",IF(COUNTIFS($D$4:$D$103,$D76,$G$4:$G$103,"REGISTRADO",$A$4:$A$103,"&lt;&gt;"&amp;$A76)+COUNTIFS($E$4:$E$103,$D76,$G$4:$G$103,"REGISTRADO",$A$4:$A$103,"&lt;&gt;"&amp;$A76)&gt;0,"ERROR: APORTADO YA USADO",IF(COUNTIFS($D$4:$D$103,$E76,$G$4:$G$103,"REGISTRADO",$A$4:$A$103,"&lt;&gt;"&amp;$A76)+COUNTIFS($E$4:$E$103,$E76,$G$4:$G$103,"REGISTRADO",$A$4:$A$103,"&lt;&gt;"&amp;$A76)&gt;0,"ERROR: ENTREGADO YA USADO","VÁLIDO")))))))</f>
        <v/>
      </c>
    </row>
    <row r="77">
      <c r="A77" s="7">
        <f>"EVT-"&amp;TEXT(ROW()-3,"000")</f>
        <v/>
      </c>
      <c r="B77" s="9" t="inlineStr"/>
      <c r="C77" s="9" t="inlineStr"/>
      <c r="D77" s="9" t="inlineStr"/>
      <c r="E77" s="9" t="inlineStr"/>
      <c r="F77" s="9" t="inlineStr"/>
      <c r="G77" s="7" t="inlineStr">
        <is>
          <t>REGISTRADO</t>
        </is>
      </c>
      <c r="H77" s="7">
        <f>IF(J77="VÁLIDO",A77,"")</f>
        <v/>
      </c>
      <c r="I77" s="9" t="inlineStr"/>
      <c r="J77" s="7">
        <f>IF(COUNTA($D77,$E77)=0,"",IF($G77="ANULADO","ANULADO",IF($D77=$E77,"ERROR: MISMO EJEMPLAR",IF(IFERROR(VLOOKUP($D77,Catalogo!$A:$T,16,FALSE),"NO")&lt;&gt;"SÍ","ERROR: APORTADO NO DISPONIBLE",IF(IFERROR(VLOOKUP($E77,Catalogo!$A:$T,16,FALSE),"NO")&lt;&gt;"SÍ","ERROR: ENTREGADO NO DISPONIBLE",IF(COUNTIFS($D$4:$D$103,$D77,$G$4:$G$103,"REGISTRADO",$A$4:$A$103,"&lt;&gt;"&amp;$A77)+COUNTIFS($E$4:$E$103,$D77,$G$4:$G$103,"REGISTRADO",$A$4:$A$103,"&lt;&gt;"&amp;$A77)&gt;0,"ERROR: APORTADO YA USADO",IF(COUNTIFS($D$4:$D$103,$E77,$G$4:$G$103,"REGISTRADO",$A$4:$A$103,"&lt;&gt;"&amp;$A77)+COUNTIFS($E$4:$E$103,$E77,$G$4:$G$103,"REGISTRADO",$A$4:$A$103,"&lt;&gt;"&amp;$A77)&gt;0,"ERROR: ENTREGADO YA USADO","VÁLIDO")))))))</f>
        <v/>
      </c>
    </row>
    <row r="78">
      <c r="A78" s="7">
        <f>"EVT-"&amp;TEXT(ROW()-3,"000")</f>
        <v/>
      </c>
      <c r="B78" s="9" t="inlineStr"/>
      <c r="C78" s="9" t="inlineStr"/>
      <c r="D78" s="9" t="inlineStr"/>
      <c r="E78" s="9" t="inlineStr"/>
      <c r="F78" s="9" t="inlineStr"/>
      <c r="G78" s="7" t="inlineStr">
        <is>
          <t>REGISTRADO</t>
        </is>
      </c>
      <c r="H78" s="7">
        <f>IF(J78="VÁLIDO",A78,"")</f>
        <v/>
      </c>
      <c r="I78" s="9" t="inlineStr"/>
      <c r="J78" s="7">
        <f>IF(COUNTA($D78,$E78)=0,"",IF($G78="ANULADO","ANULADO",IF($D78=$E78,"ERROR: MISMO EJEMPLAR",IF(IFERROR(VLOOKUP($D78,Catalogo!$A:$T,16,FALSE),"NO")&lt;&gt;"SÍ","ERROR: APORTADO NO DISPONIBLE",IF(IFERROR(VLOOKUP($E78,Catalogo!$A:$T,16,FALSE),"NO")&lt;&gt;"SÍ","ERROR: ENTREGADO NO DISPONIBLE",IF(COUNTIFS($D$4:$D$103,$D78,$G$4:$G$103,"REGISTRADO",$A$4:$A$103,"&lt;&gt;"&amp;$A78)+COUNTIFS($E$4:$E$103,$D78,$G$4:$G$103,"REGISTRADO",$A$4:$A$103,"&lt;&gt;"&amp;$A78)&gt;0,"ERROR: APORTADO YA USADO",IF(COUNTIFS($D$4:$D$103,$E78,$G$4:$G$103,"REGISTRADO",$A$4:$A$103,"&lt;&gt;"&amp;$A78)+COUNTIFS($E$4:$E$103,$E78,$G$4:$G$103,"REGISTRADO",$A$4:$A$103,"&lt;&gt;"&amp;$A78)&gt;0,"ERROR: ENTREGADO YA USADO","VÁLIDO")))))))</f>
        <v/>
      </c>
    </row>
    <row r="79">
      <c r="A79" s="7">
        <f>"EVT-"&amp;TEXT(ROW()-3,"000")</f>
        <v/>
      </c>
      <c r="B79" s="9" t="inlineStr"/>
      <c r="C79" s="9" t="inlineStr"/>
      <c r="D79" s="9" t="inlineStr"/>
      <c r="E79" s="9" t="inlineStr"/>
      <c r="F79" s="9" t="inlineStr"/>
      <c r="G79" s="7" t="inlineStr">
        <is>
          <t>REGISTRADO</t>
        </is>
      </c>
      <c r="H79" s="7">
        <f>IF(J79="VÁLIDO",A79,"")</f>
        <v/>
      </c>
      <c r="I79" s="9" t="inlineStr"/>
      <c r="J79" s="7">
        <f>IF(COUNTA($D79,$E79)=0,"",IF($G79="ANULADO","ANULADO",IF($D79=$E79,"ERROR: MISMO EJEMPLAR",IF(IFERROR(VLOOKUP($D79,Catalogo!$A:$T,16,FALSE),"NO")&lt;&gt;"SÍ","ERROR: APORTADO NO DISPONIBLE",IF(IFERROR(VLOOKUP($E79,Catalogo!$A:$T,16,FALSE),"NO")&lt;&gt;"SÍ","ERROR: ENTREGADO NO DISPONIBLE",IF(COUNTIFS($D$4:$D$103,$D79,$G$4:$G$103,"REGISTRADO",$A$4:$A$103,"&lt;&gt;"&amp;$A79)+COUNTIFS($E$4:$E$103,$D79,$G$4:$G$103,"REGISTRADO",$A$4:$A$103,"&lt;&gt;"&amp;$A79)&gt;0,"ERROR: APORTADO YA USADO",IF(COUNTIFS($D$4:$D$103,$E79,$G$4:$G$103,"REGISTRADO",$A$4:$A$103,"&lt;&gt;"&amp;$A79)+COUNTIFS($E$4:$E$103,$E79,$G$4:$G$103,"REGISTRADO",$A$4:$A$103,"&lt;&gt;"&amp;$A79)&gt;0,"ERROR: ENTREGADO YA USADO","VÁLIDO")))))))</f>
        <v/>
      </c>
    </row>
    <row r="80">
      <c r="A80" s="7">
        <f>"EVT-"&amp;TEXT(ROW()-3,"000")</f>
        <v/>
      </c>
      <c r="B80" s="9" t="inlineStr"/>
      <c r="C80" s="9" t="inlineStr"/>
      <c r="D80" s="9" t="inlineStr"/>
      <c r="E80" s="9" t="inlineStr"/>
      <c r="F80" s="9" t="inlineStr"/>
      <c r="G80" s="7" t="inlineStr">
        <is>
          <t>REGISTRADO</t>
        </is>
      </c>
      <c r="H80" s="7">
        <f>IF(J80="VÁLIDO",A80,"")</f>
        <v/>
      </c>
      <c r="I80" s="9" t="inlineStr"/>
      <c r="J80" s="7">
        <f>IF(COUNTA($D80,$E80)=0,"",IF($G80="ANULADO","ANULADO",IF($D80=$E80,"ERROR: MISMO EJEMPLAR",IF(IFERROR(VLOOKUP($D80,Catalogo!$A:$T,16,FALSE),"NO")&lt;&gt;"SÍ","ERROR: APORTADO NO DISPONIBLE",IF(IFERROR(VLOOKUP($E80,Catalogo!$A:$T,16,FALSE),"NO")&lt;&gt;"SÍ","ERROR: ENTREGADO NO DISPONIBLE",IF(COUNTIFS($D$4:$D$103,$D80,$G$4:$G$103,"REGISTRADO",$A$4:$A$103,"&lt;&gt;"&amp;$A80)+COUNTIFS($E$4:$E$103,$D80,$G$4:$G$103,"REGISTRADO",$A$4:$A$103,"&lt;&gt;"&amp;$A80)&gt;0,"ERROR: APORTADO YA USADO",IF(COUNTIFS($D$4:$D$103,$E80,$G$4:$G$103,"REGISTRADO",$A$4:$A$103,"&lt;&gt;"&amp;$A80)+COUNTIFS($E$4:$E$103,$E80,$G$4:$G$103,"REGISTRADO",$A$4:$A$103,"&lt;&gt;"&amp;$A80)&gt;0,"ERROR: ENTREGADO YA USADO","VÁLIDO")))))))</f>
        <v/>
      </c>
    </row>
    <row r="81">
      <c r="A81" s="7">
        <f>"EVT-"&amp;TEXT(ROW()-3,"000")</f>
        <v/>
      </c>
      <c r="B81" s="9" t="inlineStr"/>
      <c r="C81" s="9" t="inlineStr"/>
      <c r="D81" s="9" t="inlineStr"/>
      <c r="E81" s="9" t="inlineStr"/>
      <c r="F81" s="9" t="inlineStr"/>
      <c r="G81" s="7" t="inlineStr">
        <is>
          <t>REGISTRADO</t>
        </is>
      </c>
      <c r="H81" s="7">
        <f>IF(J81="VÁLIDO",A81,"")</f>
        <v/>
      </c>
      <c r="I81" s="9" t="inlineStr"/>
      <c r="J81" s="7">
        <f>IF(COUNTA($D81,$E81)=0,"",IF($G81="ANULADO","ANULADO",IF($D81=$E81,"ERROR: MISMO EJEMPLAR",IF(IFERROR(VLOOKUP($D81,Catalogo!$A:$T,16,FALSE),"NO")&lt;&gt;"SÍ","ERROR: APORTADO NO DISPONIBLE",IF(IFERROR(VLOOKUP($E81,Catalogo!$A:$T,16,FALSE),"NO")&lt;&gt;"SÍ","ERROR: ENTREGADO NO DISPONIBLE",IF(COUNTIFS($D$4:$D$103,$D81,$G$4:$G$103,"REGISTRADO",$A$4:$A$103,"&lt;&gt;"&amp;$A81)+COUNTIFS($E$4:$E$103,$D81,$G$4:$G$103,"REGISTRADO",$A$4:$A$103,"&lt;&gt;"&amp;$A81)&gt;0,"ERROR: APORTADO YA USADO",IF(COUNTIFS($D$4:$D$103,$E81,$G$4:$G$103,"REGISTRADO",$A$4:$A$103,"&lt;&gt;"&amp;$A81)+COUNTIFS($E$4:$E$103,$E81,$G$4:$G$103,"REGISTRADO",$A$4:$A$103,"&lt;&gt;"&amp;$A81)&gt;0,"ERROR: ENTREGADO YA USADO","VÁLIDO")))))))</f>
        <v/>
      </c>
    </row>
    <row r="82">
      <c r="A82" s="7">
        <f>"EVT-"&amp;TEXT(ROW()-3,"000")</f>
        <v/>
      </c>
      <c r="B82" s="9" t="inlineStr"/>
      <c r="C82" s="9" t="inlineStr"/>
      <c r="D82" s="9" t="inlineStr"/>
      <c r="E82" s="9" t="inlineStr"/>
      <c r="F82" s="9" t="inlineStr"/>
      <c r="G82" s="7" t="inlineStr">
        <is>
          <t>REGISTRADO</t>
        </is>
      </c>
      <c r="H82" s="7">
        <f>IF(J82="VÁLIDO",A82,"")</f>
        <v/>
      </c>
      <c r="I82" s="9" t="inlineStr"/>
      <c r="J82" s="7">
        <f>IF(COUNTA($D82,$E82)=0,"",IF($G82="ANULADO","ANULADO",IF($D82=$E82,"ERROR: MISMO EJEMPLAR",IF(IFERROR(VLOOKUP($D82,Catalogo!$A:$T,16,FALSE),"NO")&lt;&gt;"SÍ","ERROR: APORTADO NO DISPONIBLE",IF(IFERROR(VLOOKUP($E82,Catalogo!$A:$T,16,FALSE),"NO")&lt;&gt;"SÍ","ERROR: ENTREGADO NO DISPONIBLE",IF(COUNTIFS($D$4:$D$103,$D82,$G$4:$G$103,"REGISTRADO",$A$4:$A$103,"&lt;&gt;"&amp;$A82)+COUNTIFS($E$4:$E$103,$D82,$G$4:$G$103,"REGISTRADO",$A$4:$A$103,"&lt;&gt;"&amp;$A82)&gt;0,"ERROR: APORTADO YA USADO",IF(COUNTIFS($D$4:$D$103,$E82,$G$4:$G$103,"REGISTRADO",$A$4:$A$103,"&lt;&gt;"&amp;$A82)+COUNTIFS($E$4:$E$103,$E82,$G$4:$G$103,"REGISTRADO",$A$4:$A$103,"&lt;&gt;"&amp;$A82)&gt;0,"ERROR: ENTREGADO YA USADO","VÁLIDO")))))))</f>
        <v/>
      </c>
    </row>
    <row r="83">
      <c r="A83" s="7">
        <f>"EVT-"&amp;TEXT(ROW()-3,"000")</f>
        <v/>
      </c>
      <c r="B83" s="9" t="inlineStr"/>
      <c r="C83" s="9" t="inlineStr"/>
      <c r="D83" s="9" t="inlineStr"/>
      <c r="E83" s="9" t="inlineStr"/>
      <c r="F83" s="9" t="inlineStr"/>
      <c r="G83" s="7" t="inlineStr">
        <is>
          <t>REGISTRADO</t>
        </is>
      </c>
      <c r="H83" s="7">
        <f>IF(J83="VÁLIDO",A83,"")</f>
        <v/>
      </c>
      <c r="I83" s="9" t="inlineStr"/>
      <c r="J83" s="7">
        <f>IF(COUNTA($D83,$E83)=0,"",IF($G83="ANULADO","ANULADO",IF($D83=$E83,"ERROR: MISMO EJEMPLAR",IF(IFERROR(VLOOKUP($D83,Catalogo!$A:$T,16,FALSE),"NO")&lt;&gt;"SÍ","ERROR: APORTADO NO DISPONIBLE",IF(IFERROR(VLOOKUP($E83,Catalogo!$A:$T,16,FALSE),"NO")&lt;&gt;"SÍ","ERROR: ENTREGADO NO DISPONIBLE",IF(COUNTIFS($D$4:$D$103,$D83,$G$4:$G$103,"REGISTRADO",$A$4:$A$103,"&lt;&gt;"&amp;$A83)+COUNTIFS($E$4:$E$103,$D83,$G$4:$G$103,"REGISTRADO",$A$4:$A$103,"&lt;&gt;"&amp;$A83)&gt;0,"ERROR: APORTADO YA USADO",IF(COUNTIFS($D$4:$D$103,$E83,$G$4:$G$103,"REGISTRADO",$A$4:$A$103,"&lt;&gt;"&amp;$A83)+COUNTIFS($E$4:$E$103,$E83,$G$4:$G$103,"REGISTRADO",$A$4:$A$103,"&lt;&gt;"&amp;$A83)&gt;0,"ERROR: ENTREGADO YA USADO","VÁLIDO")))))))</f>
        <v/>
      </c>
    </row>
    <row r="84">
      <c r="A84" s="7">
        <f>"EVT-"&amp;TEXT(ROW()-3,"000")</f>
        <v/>
      </c>
      <c r="B84" s="9" t="inlineStr"/>
      <c r="C84" s="9" t="inlineStr"/>
      <c r="D84" s="9" t="inlineStr"/>
      <c r="E84" s="9" t="inlineStr"/>
      <c r="F84" s="9" t="inlineStr"/>
      <c r="G84" s="7" t="inlineStr">
        <is>
          <t>REGISTRADO</t>
        </is>
      </c>
      <c r="H84" s="7">
        <f>IF(J84="VÁLIDO",A84,"")</f>
        <v/>
      </c>
      <c r="I84" s="9" t="inlineStr"/>
      <c r="J84" s="7">
        <f>IF(COUNTA($D84,$E84)=0,"",IF($G84="ANULADO","ANULADO",IF($D84=$E84,"ERROR: MISMO EJEMPLAR",IF(IFERROR(VLOOKUP($D84,Catalogo!$A:$T,16,FALSE),"NO")&lt;&gt;"SÍ","ERROR: APORTADO NO DISPONIBLE",IF(IFERROR(VLOOKUP($E84,Catalogo!$A:$T,16,FALSE),"NO")&lt;&gt;"SÍ","ERROR: ENTREGADO NO DISPONIBLE",IF(COUNTIFS($D$4:$D$103,$D84,$G$4:$G$103,"REGISTRADO",$A$4:$A$103,"&lt;&gt;"&amp;$A84)+COUNTIFS($E$4:$E$103,$D84,$G$4:$G$103,"REGISTRADO",$A$4:$A$103,"&lt;&gt;"&amp;$A84)&gt;0,"ERROR: APORTADO YA USADO",IF(COUNTIFS($D$4:$D$103,$E84,$G$4:$G$103,"REGISTRADO",$A$4:$A$103,"&lt;&gt;"&amp;$A84)+COUNTIFS($E$4:$E$103,$E84,$G$4:$G$103,"REGISTRADO",$A$4:$A$103,"&lt;&gt;"&amp;$A84)&gt;0,"ERROR: ENTREGADO YA USADO","VÁLIDO")))))))</f>
        <v/>
      </c>
    </row>
    <row r="85">
      <c r="A85" s="7">
        <f>"EVT-"&amp;TEXT(ROW()-3,"000")</f>
        <v/>
      </c>
      <c r="B85" s="9" t="inlineStr"/>
      <c r="C85" s="9" t="inlineStr"/>
      <c r="D85" s="9" t="inlineStr"/>
      <c r="E85" s="9" t="inlineStr"/>
      <c r="F85" s="9" t="inlineStr"/>
      <c r="G85" s="7" t="inlineStr">
        <is>
          <t>REGISTRADO</t>
        </is>
      </c>
      <c r="H85" s="7">
        <f>IF(J85="VÁLIDO",A85,"")</f>
        <v/>
      </c>
      <c r="I85" s="9" t="inlineStr"/>
      <c r="J85" s="7">
        <f>IF(COUNTA($D85,$E85)=0,"",IF($G85="ANULADO","ANULADO",IF($D85=$E85,"ERROR: MISMO EJEMPLAR",IF(IFERROR(VLOOKUP($D85,Catalogo!$A:$T,16,FALSE),"NO")&lt;&gt;"SÍ","ERROR: APORTADO NO DISPONIBLE",IF(IFERROR(VLOOKUP($E85,Catalogo!$A:$T,16,FALSE),"NO")&lt;&gt;"SÍ","ERROR: ENTREGADO NO DISPONIBLE",IF(COUNTIFS($D$4:$D$103,$D85,$G$4:$G$103,"REGISTRADO",$A$4:$A$103,"&lt;&gt;"&amp;$A85)+COUNTIFS($E$4:$E$103,$D85,$G$4:$G$103,"REGISTRADO",$A$4:$A$103,"&lt;&gt;"&amp;$A85)&gt;0,"ERROR: APORTADO YA USADO",IF(COUNTIFS($D$4:$D$103,$E85,$G$4:$G$103,"REGISTRADO",$A$4:$A$103,"&lt;&gt;"&amp;$A85)+COUNTIFS($E$4:$E$103,$E85,$G$4:$G$103,"REGISTRADO",$A$4:$A$103,"&lt;&gt;"&amp;$A85)&gt;0,"ERROR: ENTREGADO YA USADO","VÁLIDO")))))))</f>
        <v/>
      </c>
    </row>
    <row r="86">
      <c r="A86" s="7">
        <f>"EVT-"&amp;TEXT(ROW()-3,"000")</f>
        <v/>
      </c>
      <c r="B86" s="9" t="inlineStr"/>
      <c r="C86" s="9" t="inlineStr"/>
      <c r="D86" s="9" t="inlineStr"/>
      <c r="E86" s="9" t="inlineStr"/>
      <c r="F86" s="9" t="inlineStr"/>
      <c r="G86" s="7" t="inlineStr">
        <is>
          <t>REGISTRADO</t>
        </is>
      </c>
      <c r="H86" s="7">
        <f>IF(J86="VÁLIDO",A86,"")</f>
        <v/>
      </c>
      <c r="I86" s="9" t="inlineStr"/>
      <c r="J86" s="7">
        <f>IF(COUNTA($D86,$E86)=0,"",IF($G86="ANULADO","ANULADO",IF($D86=$E86,"ERROR: MISMO EJEMPLAR",IF(IFERROR(VLOOKUP($D86,Catalogo!$A:$T,16,FALSE),"NO")&lt;&gt;"SÍ","ERROR: APORTADO NO DISPONIBLE",IF(IFERROR(VLOOKUP($E86,Catalogo!$A:$T,16,FALSE),"NO")&lt;&gt;"SÍ","ERROR: ENTREGADO NO DISPONIBLE",IF(COUNTIFS($D$4:$D$103,$D86,$G$4:$G$103,"REGISTRADO",$A$4:$A$103,"&lt;&gt;"&amp;$A86)+COUNTIFS($E$4:$E$103,$D86,$G$4:$G$103,"REGISTRADO",$A$4:$A$103,"&lt;&gt;"&amp;$A86)&gt;0,"ERROR: APORTADO YA USADO",IF(COUNTIFS($D$4:$D$103,$E86,$G$4:$G$103,"REGISTRADO",$A$4:$A$103,"&lt;&gt;"&amp;$A86)+COUNTIFS($E$4:$E$103,$E86,$G$4:$G$103,"REGISTRADO",$A$4:$A$103,"&lt;&gt;"&amp;$A86)&gt;0,"ERROR: ENTREGADO YA USADO","VÁLIDO")))))))</f>
        <v/>
      </c>
    </row>
    <row r="87">
      <c r="A87" s="7">
        <f>"EVT-"&amp;TEXT(ROW()-3,"000")</f>
        <v/>
      </c>
      <c r="B87" s="9" t="inlineStr"/>
      <c r="C87" s="9" t="inlineStr"/>
      <c r="D87" s="9" t="inlineStr"/>
      <c r="E87" s="9" t="inlineStr"/>
      <c r="F87" s="9" t="inlineStr"/>
      <c r="G87" s="7" t="inlineStr">
        <is>
          <t>REGISTRADO</t>
        </is>
      </c>
      <c r="H87" s="7">
        <f>IF(J87="VÁLIDO",A87,"")</f>
        <v/>
      </c>
      <c r="I87" s="9" t="inlineStr"/>
      <c r="J87" s="7">
        <f>IF(COUNTA($D87,$E87)=0,"",IF($G87="ANULADO","ANULADO",IF($D87=$E87,"ERROR: MISMO EJEMPLAR",IF(IFERROR(VLOOKUP($D87,Catalogo!$A:$T,16,FALSE),"NO")&lt;&gt;"SÍ","ERROR: APORTADO NO DISPONIBLE",IF(IFERROR(VLOOKUP($E87,Catalogo!$A:$T,16,FALSE),"NO")&lt;&gt;"SÍ","ERROR: ENTREGADO NO DISPONIBLE",IF(COUNTIFS($D$4:$D$103,$D87,$G$4:$G$103,"REGISTRADO",$A$4:$A$103,"&lt;&gt;"&amp;$A87)+COUNTIFS($E$4:$E$103,$D87,$G$4:$G$103,"REGISTRADO",$A$4:$A$103,"&lt;&gt;"&amp;$A87)&gt;0,"ERROR: APORTADO YA USADO",IF(COUNTIFS($D$4:$D$103,$E87,$G$4:$G$103,"REGISTRADO",$A$4:$A$103,"&lt;&gt;"&amp;$A87)+COUNTIFS($E$4:$E$103,$E87,$G$4:$G$103,"REGISTRADO",$A$4:$A$103,"&lt;&gt;"&amp;$A87)&gt;0,"ERROR: ENTREGADO YA USADO","VÁLIDO")))))))</f>
        <v/>
      </c>
    </row>
    <row r="88">
      <c r="A88" s="7">
        <f>"EVT-"&amp;TEXT(ROW()-3,"000")</f>
        <v/>
      </c>
      <c r="B88" s="9" t="inlineStr"/>
      <c r="C88" s="9" t="inlineStr"/>
      <c r="D88" s="9" t="inlineStr"/>
      <c r="E88" s="9" t="inlineStr"/>
      <c r="F88" s="9" t="inlineStr"/>
      <c r="G88" s="7" t="inlineStr">
        <is>
          <t>REGISTRADO</t>
        </is>
      </c>
      <c r="H88" s="7">
        <f>IF(J88="VÁLIDO",A88,"")</f>
        <v/>
      </c>
      <c r="I88" s="9" t="inlineStr"/>
      <c r="J88" s="7">
        <f>IF(COUNTA($D88,$E88)=0,"",IF($G88="ANULADO","ANULADO",IF($D88=$E88,"ERROR: MISMO EJEMPLAR",IF(IFERROR(VLOOKUP($D88,Catalogo!$A:$T,16,FALSE),"NO")&lt;&gt;"SÍ","ERROR: APORTADO NO DISPONIBLE",IF(IFERROR(VLOOKUP($E88,Catalogo!$A:$T,16,FALSE),"NO")&lt;&gt;"SÍ","ERROR: ENTREGADO NO DISPONIBLE",IF(COUNTIFS($D$4:$D$103,$D88,$G$4:$G$103,"REGISTRADO",$A$4:$A$103,"&lt;&gt;"&amp;$A88)+COUNTIFS($E$4:$E$103,$D88,$G$4:$G$103,"REGISTRADO",$A$4:$A$103,"&lt;&gt;"&amp;$A88)&gt;0,"ERROR: APORTADO YA USADO",IF(COUNTIFS($D$4:$D$103,$E88,$G$4:$G$103,"REGISTRADO",$A$4:$A$103,"&lt;&gt;"&amp;$A88)+COUNTIFS($E$4:$E$103,$E88,$G$4:$G$103,"REGISTRADO",$A$4:$A$103,"&lt;&gt;"&amp;$A88)&gt;0,"ERROR: ENTREGADO YA USADO","VÁLIDO")))))))</f>
        <v/>
      </c>
    </row>
    <row r="89">
      <c r="A89" s="7">
        <f>"EVT-"&amp;TEXT(ROW()-3,"000")</f>
        <v/>
      </c>
      <c r="B89" s="9" t="inlineStr"/>
      <c r="C89" s="9" t="inlineStr"/>
      <c r="D89" s="9" t="inlineStr"/>
      <c r="E89" s="9" t="inlineStr"/>
      <c r="F89" s="9" t="inlineStr"/>
      <c r="G89" s="7" t="inlineStr">
        <is>
          <t>REGISTRADO</t>
        </is>
      </c>
      <c r="H89" s="7">
        <f>IF(J89="VÁLIDO",A89,"")</f>
        <v/>
      </c>
      <c r="I89" s="9" t="inlineStr"/>
      <c r="J89" s="7">
        <f>IF(COUNTA($D89,$E89)=0,"",IF($G89="ANULADO","ANULADO",IF($D89=$E89,"ERROR: MISMO EJEMPLAR",IF(IFERROR(VLOOKUP($D89,Catalogo!$A:$T,16,FALSE),"NO")&lt;&gt;"SÍ","ERROR: APORTADO NO DISPONIBLE",IF(IFERROR(VLOOKUP($E89,Catalogo!$A:$T,16,FALSE),"NO")&lt;&gt;"SÍ","ERROR: ENTREGADO NO DISPONIBLE",IF(COUNTIFS($D$4:$D$103,$D89,$G$4:$G$103,"REGISTRADO",$A$4:$A$103,"&lt;&gt;"&amp;$A89)+COUNTIFS($E$4:$E$103,$D89,$G$4:$G$103,"REGISTRADO",$A$4:$A$103,"&lt;&gt;"&amp;$A89)&gt;0,"ERROR: APORTADO YA USADO",IF(COUNTIFS($D$4:$D$103,$E89,$G$4:$G$103,"REGISTRADO",$A$4:$A$103,"&lt;&gt;"&amp;$A89)+COUNTIFS($E$4:$E$103,$E89,$G$4:$G$103,"REGISTRADO",$A$4:$A$103,"&lt;&gt;"&amp;$A89)&gt;0,"ERROR: ENTREGADO YA USADO","VÁLIDO")))))))</f>
        <v/>
      </c>
    </row>
    <row r="90">
      <c r="A90" s="7">
        <f>"EVT-"&amp;TEXT(ROW()-3,"000")</f>
        <v/>
      </c>
      <c r="B90" s="9" t="inlineStr"/>
      <c r="C90" s="9" t="inlineStr"/>
      <c r="D90" s="9" t="inlineStr"/>
      <c r="E90" s="9" t="inlineStr"/>
      <c r="F90" s="9" t="inlineStr"/>
      <c r="G90" s="7" t="inlineStr">
        <is>
          <t>REGISTRADO</t>
        </is>
      </c>
      <c r="H90" s="7">
        <f>IF(J90="VÁLIDO",A90,"")</f>
        <v/>
      </c>
      <c r="I90" s="9" t="inlineStr"/>
      <c r="J90" s="7">
        <f>IF(COUNTA($D90,$E90)=0,"",IF($G90="ANULADO","ANULADO",IF($D90=$E90,"ERROR: MISMO EJEMPLAR",IF(IFERROR(VLOOKUP($D90,Catalogo!$A:$T,16,FALSE),"NO")&lt;&gt;"SÍ","ERROR: APORTADO NO DISPONIBLE",IF(IFERROR(VLOOKUP($E90,Catalogo!$A:$T,16,FALSE),"NO")&lt;&gt;"SÍ","ERROR: ENTREGADO NO DISPONIBLE",IF(COUNTIFS($D$4:$D$103,$D90,$G$4:$G$103,"REGISTRADO",$A$4:$A$103,"&lt;&gt;"&amp;$A90)+COUNTIFS($E$4:$E$103,$D90,$G$4:$G$103,"REGISTRADO",$A$4:$A$103,"&lt;&gt;"&amp;$A90)&gt;0,"ERROR: APORTADO YA USADO",IF(COUNTIFS($D$4:$D$103,$E90,$G$4:$G$103,"REGISTRADO",$A$4:$A$103,"&lt;&gt;"&amp;$A90)+COUNTIFS($E$4:$E$103,$E90,$G$4:$G$103,"REGISTRADO",$A$4:$A$103,"&lt;&gt;"&amp;$A90)&gt;0,"ERROR: ENTREGADO YA USADO","VÁLIDO")))))))</f>
        <v/>
      </c>
    </row>
    <row r="91">
      <c r="A91" s="7">
        <f>"EVT-"&amp;TEXT(ROW()-3,"000")</f>
        <v/>
      </c>
      <c r="B91" s="9" t="inlineStr"/>
      <c r="C91" s="9" t="inlineStr"/>
      <c r="D91" s="9" t="inlineStr"/>
      <c r="E91" s="9" t="inlineStr"/>
      <c r="F91" s="9" t="inlineStr"/>
      <c r="G91" s="7" t="inlineStr">
        <is>
          <t>REGISTRADO</t>
        </is>
      </c>
      <c r="H91" s="7">
        <f>IF(J91="VÁLIDO",A91,"")</f>
        <v/>
      </c>
      <c r="I91" s="9" t="inlineStr"/>
      <c r="J91" s="7">
        <f>IF(COUNTA($D91,$E91)=0,"",IF($G91="ANULADO","ANULADO",IF($D91=$E91,"ERROR: MISMO EJEMPLAR",IF(IFERROR(VLOOKUP($D91,Catalogo!$A:$T,16,FALSE),"NO")&lt;&gt;"SÍ","ERROR: APORTADO NO DISPONIBLE",IF(IFERROR(VLOOKUP($E91,Catalogo!$A:$T,16,FALSE),"NO")&lt;&gt;"SÍ","ERROR: ENTREGADO NO DISPONIBLE",IF(COUNTIFS($D$4:$D$103,$D91,$G$4:$G$103,"REGISTRADO",$A$4:$A$103,"&lt;&gt;"&amp;$A91)+COUNTIFS($E$4:$E$103,$D91,$G$4:$G$103,"REGISTRADO",$A$4:$A$103,"&lt;&gt;"&amp;$A91)&gt;0,"ERROR: APORTADO YA USADO",IF(COUNTIFS($D$4:$D$103,$E91,$G$4:$G$103,"REGISTRADO",$A$4:$A$103,"&lt;&gt;"&amp;$A91)+COUNTIFS($E$4:$E$103,$E91,$G$4:$G$103,"REGISTRADO",$A$4:$A$103,"&lt;&gt;"&amp;$A91)&gt;0,"ERROR: ENTREGADO YA USADO","VÁLIDO")))))))</f>
        <v/>
      </c>
    </row>
    <row r="92">
      <c r="A92" s="7">
        <f>"EVT-"&amp;TEXT(ROW()-3,"000")</f>
        <v/>
      </c>
      <c r="B92" s="9" t="inlineStr"/>
      <c r="C92" s="9" t="inlineStr"/>
      <c r="D92" s="9" t="inlineStr"/>
      <c r="E92" s="9" t="inlineStr"/>
      <c r="F92" s="9" t="inlineStr"/>
      <c r="G92" s="7" t="inlineStr">
        <is>
          <t>REGISTRADO</t>
        </is>
      </c>
      <c r="H92" s="7">
        <f>IF(J92="VÁLIDO",A92,"")</f>
        <v/>
      </c>
      <c r="I92" s="9" t="inlineStr"/>
      <c r="J92" s="7">
        <f>IF(COUNTA($D92,$E92)=0,"",IF($G92="ANULADO","ANULADO",IF($D92=$E92,"ERROR: MISMO EJEMPLAR",IF(IFERROR(VLOOKUP($D92,Catalogo!$A:$T,16,FALSE),"NO")&lt;&gt;"SÍ","ERROR: APORTADO NO DISPONIBLE",IF(IFERROR(VLOOKUP($E92,Catalogo!$A:$T,16,FALSE),"NO")&lt;&gt;"SÍ","ERROR: ENTREGADO NO DISPONIBLE",IF(COUNTIFS($D$4:$D$103,$D92,$G$4:$G$103,"REGISTRADO",$A$4:$A$103,"&lt;&gt;"&amp;$A92)+COUNTIFS($E$4:$E$103,$D92,$G$4:$G$103,"REGISTRADO",$A$4:$A$103,"&lt;&gt;"&amp;$A92)&gt;0,"ERROR: APORTADO YA USADO",IF(COUNTIFS($D$4:$D$103,$E92,$G$4:$G$103,"REGISTRADO",$A$4:$A$103,"&lt;&gt;"&amp;$A92)+COUNTIFS($E$4:$E$103,$E92,$G$4:$G$103,"REGISTRADO",$A$4:$A$103,"&lt;&gt;"&amp;$A92)&gt;0,"ERROR: ENTREGADO YA USADO","VÁLIDO")))))))</f>
        <v/>
      </c>
    </row>
    <row r="93">
      <c r="A93" s="7">
        <f>"EVT-"&amp;TEXT(ROW()-3,"000")</f>
        <v/>
      </c>
      <c r="B93" s="9" t="inlineStr"/>
      <c r="C93" s="9" t="inlineStr"/>
      <c r="D93" s="9" t="inlineStr"/>
      <c r="E93" s="9" t="inlineStr"/>
      <c r="F93" s="9" t="inlineStr"/>
      <c r="G93" s="7" t="inlineStr">
        <is>
          <t>REGISTRADO</t>
        </is>
      </c>
      <c r="H93" s="7">
        <f>IF(J93="VÁLIDO",A93,"")</f>
        <v/>
      </c>
      <c r="I93" s="9" t="inlineStr"/>
      <c r="J93" s="7">
        <f>IF(COUNTA($D93,$E93)=0,"",IF($G93="ANULADO","ANULADO",IF($D93=$E93,"ERROR: MISMO EJEMPLAR",IF(IFERROR(VLOOKUP($D93,Catalogo!$A:$T,16,FALSE),"NO")&lt;&gt;"SÍ","ERROR: APORTADO NO DISPONIBLE",IF(IFERROR(VLOOKUP($E93,Catalogo!$A:$T,16,FALSE),"NO")&lt;&gt;"SÍ","ERROR: ENTREGADO NO DISPONIBLE",IF(COUNTIFS($D$4:$D$103,$D93,$G$4:$G$103,"REGISTRADO",$A$4:$A$103,"&lt;&gt;"&amp;$A93)+COUNTIFS($E$4:$E$103,$D93,$G$4:$G$103,"REGISTRADO",$A$4:$A$103,"&lt;&gt;"&amp;$A93)&gt;0,"ERROR: APORTADO YA USADO",IF(COUNTIFS($D$4:$D$103,$E93,$G$4:$G$103,"REGISTRADO",$A$4:$A$103,"&lt;&gt;"&amp;$A93)+COUNTIFS($E$4:$E$103,$E93,$G$4:$G$103,"REGISTRADO",$A$4:$A$103,"&lt;&gt;"&amp;$A93)&gt;0,"ERROR: ENTREGADO YA USADO","VÁLIDO")))))))</f>
        <v/>
      </c>
    </row>
    <row r="94">
      <c r="A94" s="7">
        <f>"EVT-"&amp;TEXT(ROW()-3,"000")</f>
        <v/>
      </c>
      <c r="B94" s="9" t="inlineStr"/>
      <c r="C94" s="9" t="inlineStr"/>
      <c r="D94" s="9" t="inlineStr"/>
      <c r="E94" s="9" t="inlineStr"/>
      <c r="F94" s="9" t="inlineStr"/>
      <c r="G94" s="7" t="inlineStr">
        <is>
          <t>REGISTRADO</t>
        </is>
      </c>
      <c r="H94" s="7">
        <f>IF(J94="VÁLIDO",A94,"")</f>
        <v/>
      </c>
      <c r="I94" s="9" t="inlineStr"/>
      <c r="J94" s="7">
        <f>IF(COUNTA($D94,$E94)=0,"",IF($G94="ANULADO","ANULADO",IF($D94=$E94,"ERROR: MISMO EJEMPLAR",IF(IFERROR(VLOOKUP($D94,Catalogo!$A:$T,16,FALSE),"NO")&lt;&gt;"SÍ","ERROR: APORTADO NO DISPONIBLE",IF(IFERROR(VLOOKUP($E94,Catalogo!$A:$T,16,FALSE),"NO")&lt;&gt;"SÍ","ERROR: ENTREGADO NO DISPONIBLE",IF(COUNTIFS($D$4:$D$103,$D94,$G$4:$G$103,"REGISTRADO",$A$4:$A$103,"&lt;&gt;"&amp;$A94)+COUNTIFS($E$4:$E$103,$D94,$G$4:$G$103,"REGISTRADO",$A$4:$A$103,"&lt;&gt;"&amp;$A94)&gt;0,"ERROR: APORTADO YA USADO",IF(COUNTIFS($D$4:$D$103,$E94,$G$4:$G$103,"REGISTRADO",$A$4:$A$103,"&lt;&gt;"&amp;$A94)+COUNTIFS($E$4:$E$103,$E94,$G$4:$G$103,"REGISTRADO",$A$4:$A$103,"&lt;&gt;"&amp;$A94)&gt;0,"ERROR: ENTREGADO YA USADO","VÁLIDO")))))))</f>
        <v/>
      </c>
    </row>
    <row r="95">
      <c r="A95" s="7">
        <f>"EVT-"&amp;TEXT(ROW()-3,"000")</f>
        <v/>
      </c>
      <c r="B95" s="9" t="inlineStr"/>
      <c r="C95" s="9" t="inlineStr"/>
      <c r="D95" s="9" t="inlineStr"/>
      <c r="E95" s="9" t="inlineStr"/>
      <c r="F95" s="9" t="inlineStr"/>
      <c r="G95" s="7" t="inlineStr">
        <is>
          <t>REGISTRADO</t>
        </is>
      </c>
      <c r="H95" s="7">
        <f>IF(J95="VÁLIDO",A95,"")</f>
        <v/>
      </c>
      <c r="I95" s="9" t="inlineStr"/>
      <c r="J95" s="7">
        <f>IF(COUNTA($D95,$E95)=0,"",IF($G95="ANULADO","ANULADO",IF($D95=$E95,"ERROR: MISMO EJEMPLAR",IF(IFERROR(VLOOKUP($D95,Catalogo!$A:$T,16,FALSE),"NO")&lt;&gt;"SÍ","ERROR: APORTADO NO DISPONIBLE",IF(IFERROR(VLOOKUP($E95,Catalogo!$A:$T,16,FALSE),"NO")&lt;&gt;"SÍ","ERROR: ENTREGADO NO DISPONIBLE",IF(COUNTIFS($D$4:$D$103,$D95,$G$4:$G$103,"REGISTRADO",$A$4:$A$103,"&lt;&gt;"&amp;$A95)+COUNTIFS($E$4:$E$103,$D95,$G$4:$G$103,"REGISTRADO",$A$4:$A$103,"&lt;&gt;"&amp;$A95)&gt;0,"ERROR: APORTADO YA USADO",IF(COUNTIFS($D$4:$D$103,$E95,$G$4:$G$103,"REGISTRADO",$A$4:$A$103,"&lt;&gt;"&amp;$A95)+COUNTIFS($E$4:$E$103,$E95,$G$4:$G$103,"REGISTRADO",$A$4:$A$103,"&lt;&gt;"&amp;$A95)&gt;0,"ERROR: ENTREGADO YA USADO","VÁLIDO")))))))</f>
        <v/>
      </c>
    </row>
    <row r="96">
      <c r="A96" s="7">
        <f>"EVT-"&amp;TEXT(ROW()-3,"000")</f>
        <v/>
      </c>
      <c r="B96" s="9" t="inlineStr"/>
      <c r="C96" s="9" t="inlineStr"/>
      <c r="D96" s="9" t="inlineStr"/>
      <c r="E96" s="9" t="inlineStr"/>
      <c r="F96" s="9" t="inlineStr"/>
      <c r="G96" s="7" t="inlineStr">
        <is>
          <t>REGISTRADO</t>
        </is>
      </c>
      <c r="H96" s="7">
        <f>IF(J96="VÁLIDO",A96,"")</f>
        <v/>
      </c>
      <c r="I96" s="9" t="inlineStr"/>
      <c r="J96" s="7">
        <f>IF(COUNTA($D96,$E96)=0,"",IF($G96="ANULADO","ANULADO",IF($D96=$E96,"ERROR: MISMO EJEMPLAR",IF(IFERROR(VLOOKUP($D96,Catalogo!$A:$T,16,FALSE),"NO")&lt;&gt;"SÍ","ERROR: APORTADO NO DISPONIBLE",IF(IFERROR(VLOOKUP($E96,Catalogo!$A:$T,16,FALSE),"NO")&lt;&gt;"SÍ","ERROR: ENTREGADO NO DISPONIBLE",IF(COUNTIFS($D$4:$D$103,$D96,$G$4:$G$103,"REGISTRADO",$A$4:$A$103,"&lt;&gt;"&amp;$A96)+COUNTIFS($E$4:$E$103,$D96,$G$4:$G$103,"REGISTRADO",$A$4:$A$103,"&lt;&gt;"&amp;$A96)&gt;0,"ERROR: APORTADO YA USADO",IF(COUNTIFS($D$4:$D$103,$E96,$G$4:$G$103,"REGISTRADO",$A$4:$A$103,"&lt;&gt;"&amp;$A96)+COUNTIFS($E$4:$E$103,$E96,$G$4:$G$103,"REGISTRADO",$A$4:$A$103,"&lt;&gt;"&amp;$A96)&gt;0,"ERROR: ENTREGADO YA USADO","VÁLIDO")))))))</f>
        <v/>
      </c>
    </row>
    <row r="97">
      <c r="A97" s="7">
        <f>"EVT-"&amp;TEXT(ROW()-3,"000")</f>
        <v/>
      </c>
      <c r="B97" s="9" t="inlineStr"/>
      <c r="C97" s="9" t="inlineStr"/>
      <c r="D97" s="9" t="inlineStr"/>
      <c r="E97" s="9" t="inlineStr"/>
      <c r="F97" s="9" t="inlineStr"/>
      <c r="G97" s="7" t="inlineStr">
        <is>
          <t>REGISTRADO</t>
        </is>
      </c>
      <c r="H97" s="7">
        <f>IF(J97="VÁLIDO",A97,"")</f>
        <v/>
      </c>
      <c r="I97" s="9" t="inlineStr"/>
      <c r="J97" s="7">
        <f>IF(COUNTA($D97,$E97)=0,"",IF($G97="ANULADO","ANULADO",IF($D97=$E97,"ERROR: MISMO EJEMPLAR",IF(IFERROR(VLOOKUP($D97,Catalogo!$A:$T,16,FALSE),"NO")&lt;&gt;"SÍ","ERROR: APORTADO NO DISPONIBLE",IF(IFERROR(VLOOKUP($E97,Catalogo!$A:$T,16,FALSE),"NO")&lt;&gt;"SÍ","ERROR: ENTREGADO NO DISPONIBLE",IF(COUNTIFS($D$4:$D$103,$D97,$G$4:$G$103,"REGISTRADO",$A$4:$A$103,"&lt;&gt;"&amp;$A97)+COUNTIFS($E$4:$E$103,$D97,$G$4:$G$103,"REGISTRADO",$A$4:$A$103,"&lt;&gt;"&amp;$A97)&gt;0,"ERROR: APORTADO YA USADO",IF(COUNTIFS($D$4:$D$103,$E97,$G$4:$G$103,"REGISTRADO",$A$4:$A$103,"&lt;&gt;"&amp;$A97)+COUNTIFS($E$4:$E$103,$E97,$G$4:$G$103,"REGISTRADO",$A$4:$A$103,"&lt;&gt;"&amp;$A97)&gt;0,"ERROR: ENTREGADO YA USADO","VÁLIDO")))))))</f>
        <v/>
      </c>
    </row>
    <row r="98">
      <c r="A98" s="7">
        <f>"EVT-"&amp;TEXT(ROW()-3,"000")</f>
        <v/>
      </c>
      <c r="B98" s="9" t="inlineStr"/>
      <c r="C98" s="9" t="inlineStr"/>
      <c r="D98" s="9" t="inlineStr"/>
      <c r="E98" s="9" t="inlineStr"/>
      <c r="F98" s="9" t="inlineStr"/>
      <c r="G98" s="7" t="inlineStr">
        <is>
          <t>REGISTRADO</t>
        </is>
      </c>
      <c r="H98" s="7">
        <f>IF(J98="VÁLIDO",A98,"")</f>
        <v/>
      </c>
      <c r="I98" s="9" t="inlineStr"/>
      <c r="J98" s="7">
        <f>IF(COUNTA($D98,$E98)=0,"",IF($G98="ANULADO","ANULADO",IF($D98=$E98,"ERROR: MISMO EJEMPLAR",IF(IFERROR(VLOOKUP($D98,Catalogo!$A:$T,16,FALSE),"NO")&lt;&gt;"SÍ","ERROR: APORTADO NO DISPONIBLE",IF(IFERROR(VLOOKUP($E98,Catalogo!$A:$T,16,FALSE),"NO")&lt;&gt;"SÍ","ERROR: ENTREGADO NO DISPONIBLE",IF(COUNTIFS($D$4:$D$103,$D98,$G$4:$G$103,"REGISTRADO",$A$4:$A$103,"&lt;&gt;"&amp;$A98)+COUNTIFS($E$4:$E$103,$D98,$G$4:$G$103,"REGISTRADO",$A$4:$A$103,"&lt;&gt;"&amp;$A98)&gt;0,"ERROR: APORTADO YA USADO",IF(COUNTIFS($D$4:$D$103,$E98,$G$4:$G$103,"REGISTRADO",$A$4:$A$103,"&lt;&gt;"&amp;$A98)+COUNTIFS($E$4:$E$103,$E98,$G$4:$G$103,"REGISTRADO",$A$4:$A$103,"&lt;&gt;"&amp;$A98)&gt;0,"ERROR: ENTREGADO YA USADO","VÁLIDO")))))))</f>
        <v/>
      </c>
    </row>
    <row r="99">
      <c r="A99" s="7">
        <f>"EVT-"&amp;TEXT(ROW()-3,"000")</f>
        <v/>
      </c>
      <c r="B99" s="9" t="inlineStr"/>
      <c r="C99" s="9" t="inlineStr"/>
      <c r="D99" s="9" t="inlineStr"/>
      <c r="E99" s="9" t="inlineStr"/>
      <c r="F99" s="9" t="inlineStr"/>
      <c r="G99" s="7" t="inlineStr">
        <is>
          <t>REGISTRADO</t>
        </is>
      </c>
      <c r="H99" s="7">
        <f>IF(J99="VÁLIDO",A99,"")</f>
        <v/>
      </c>
      <c r="I99" s="9" t="inlineStr"/>
      <c r="J99" s="7">
        <f>IF(COUNTA($D99,$E99)=0,"",IF($G99="ANULADO","ANULADO",IF($D99=$E99,"ERROR: MISMO EJEMPLAR",IF(IFERROR(VLOOKUP($D99,Catalogo!$A:$T,16,FALSE),"NO")&lt;&gt;"SÍ","ERROR: APORTADO NO DISPONIBLE",IF(IFERROR(VLOOKUP($E99,Catalogo!$A:$T,16,FALSE),"NO")&lt;&gt;"SÍ","ERROR: ENTREGADO NO DISPONIBLE",IF(COUNTIFS($D$4:$D$103,$D99,$G$4:$G$103,"REGISTRADO",$A$4:$A$103,"&lt;&gt;"&amp;$A99)+COUNTIFS($E$4:$E$103,$D99,$G$4:$G$103,"REGISTRADO",$A$4:$A$103,"&lt;&gt;"&amp;$A99)&gt;0,"ERROR: APORTADO YA USADO",IF(COUNTIFS($D$4:$D$103,$E99,$G$4:$G$103,"REGISTRADO",$A$4:$A$103,"&lt;&gt;"&amp;$A99)+COUNTIFS($E$4:$E$103,$E99,$G$4:$G$103,"REGISTRADO",$A$4:$A$103,"&lt;&gt;"&amp;$A99)&gt;0,"ERROR: ENTREGADO YA USADO","VÁLIDO")))))))</f>
        <v/>
      </c>
    </row>
    <row r="100">
      <c r="A100" s="7">
        <f>"EVT-"&amp;TEXT(ROW()-3,"000")</f>
        <v/>
      </c>
      <c r="B100" s="9" t="inlineStr"/>
      <c r="C100" s="9" t="inlineStr"/>
      <c r="D100" s="9" t="inlineStr"/>
      <c r="E100" s="9" t="inlineStr"/>
      <c r="F100" s="9" t="inlineStr"/>
      <c r="G100" s="7" t="inlineStr">
        <is>
          <t>REGISTRADO</t>
        </is>
      </c>
      <c r="H100" s="7">
        <f>IF(J100="VÁLIDO",A100,"")</f>
        <v/>
      </c>
      <c r="I100" s="9" t="inlineStr"/>
      <c r="J100" s="7">
        <f>IF(COUNTA($D100,$E100)=0,"",IF($G100="ANULADO","ANULADO",IF($D100=$E100,"ERROR: MISMO EJEMPLAR",IF(IFERROR(VLOOKUP($D100,Catalogo!$A:$T,16,FALSE),"NO")&lt;&gt;"SÍ","ERROR: APORTADO NO DISPONIBLE",IF(IFERROR(VLOOKUP($E100,Catalogo!$A:$T,16,FALSE),"NO")&lt;&gt;"SÍ","ERROR: ENTREGADO NO DISPONIBLE",IF(COUNTIFS($D$4:$D$103,$D100,$G$4:$G$103,"REGISTRADO",$A$4:$A$103,"&lt;&gt;"&amp;$A100)+COUNTIFS($E$4:$E$103,$D100,$G$4:$G$103,"REGISTRADO",$A$4:$A$103,"&lt;&gt;"&amp;$A100)&gt;0,"ERROR: APORTADO YA USADO",IF(COUNTIFS($D$4:$D$103,$E100,$G$4:$G$103,"REGISTRADO",$A$4:$A$103,"&lt;&gt;"&amp;$A100)+COUNTIFS($E$4:$E$103,$E100,$G$4:$G$103,"REGISTRADO",$A$4:$A$103,"&lt;&gt;"&amp;$A100)&gt;0,"ERROR: ENTREGADO YA USADO","VÁLIDO")))))))</f>
        <v/>
      </c>
    </row>
    <row r="101">
      <c r="A101" s="7">
        <f>"EVT-"&amp;TEXT(ROW()-3,"000")</f>
        <v/>
      </c>
      <c r="B101" s="9" t="inlineStr"/>
      <c r="C101" s="9" t="inlineStr"/>
      <c r="D101" s="9" t="inlineStr"/>
      <c r="E101" s="9" t="inlineStr"/>
      <c r="F101" s="9" t="inlineStr"/>
      <c r="G101" s="7" t="inlineStr">
        <is>
          <t>REGISTRADO</t>
        </is>
      </c>
      <c r="H101" s="7">
        <f>IF(J101="VÁLIDO",A101,"")</f>
        <v/>
      </c>
      <c r="I101" s="9" t="inlineStr"/>
      <c r="J101" s="7">
        <f>IF(COUNTA($D101,$E101)=0,"",IF($G101="ANULADO","ANULADO",IF($D101=$E101,"ERROR: MISMO EJEMPLAR",IF(IFERROR(VLOOKUP($D101,Catalogo!$A:$T,16,FALSE),"NO")&lt;&gt;"SÍ","ERROR: APORTADO NO DISPONIBLE",IF(IFERROR(VLOOKUP($E101,Catalogo!$A:$T,16,FALSE),"NO")&lt;&gt;"SÍ","ERROR: ENTREGADO NO DISPONIBLE",IF(COUNTIFS($D$4:$D$103,$D101,$G$4:$G$103,"REGISTRADO",$A$4:$A$103,"&lt;&gt;"&amp;$A101)+COUNTIFS($E$4:$E$103,$D101,$G$4:$G$103,"REGISTRADO",$A$4:$A$103,"&lt;&gt;"&amp;$A101)&gt;0,"ERROR: APORTADO YA USADO",IF(COUNTIFS($D$4:$D$103,$E101,$G$4:$G$103,"REGISTRADO",$A$4:$A$103,"&lt;&gt;"&amp;$A101)+COUNTIFS($E$4:$E$103,$E101,$G$4:$G$103,"REGISTRADO",$A$4:$A$103,"&lt;&gt;"&amp;$A101)&gt;0,"ERROR: ENTREGADO YA USADO","VÁLIDO")))))))</f>
        <v/>
      </c>
    </row>
    <row r="102">
      <c r="A102" s="7">
        <f>"EVT-"&amp;TEXT(ROW()-3,"000")</f>
        <v/>
      </c>
      <c r="B102" s="9" t="inlineStr"/>
      <c r="C102" s="9" t="inlineStr"/>
      <c r="D102" s="9" t="inlineStr"/>
      <c r="E102" s="9" t="inlineStr"/>
      <c r="F102" s="9" t="inlineStr"/>
      <c r="G102" s="7" t="inlineStr">
        <is>
          <t>REGISTRADO</t>
        </is>
      </c>
      <c r="H102" s="7">
        <f>IF(J102="VÁLIDO",A102,"")</f>
        <v/>
      </c>
      <c r="I102" s="9" t="inlineStr"/>
      <c r="J102" s="7">
        <f>IF(COUNTA($D102,$E102)=0,"",IF($G102="ANULADO","ANULADO",IF($D102=$E102,"ERROR: MISMO EJEMPLAR",IF(IFERROR(VLOOKUP($D102,Catalogo!$A:$T,16,FALSE),"NO")&lt;&gt;"SÍ","ERROR: APORTADO NO DISPONIBLE",IF(IFERROR(VLOOKUP($E102,Catalogo!$A:$T,16,FALSE),"NO")&lt;&gt;"SÍ","ERROR: ENTREGADO NO DISPONIBLE",IF(COUNTIFS($D$4:$D$103,$D102,$G$4:$G$103,"REGISTRADO",$A$4:$A$103,"&lt;&gt;"&amp;$A102)+COUNTIFS($E$4:$E$103,$D102,$G$4:$G$103,"REGISTRADO",$A$4:$A$103,"&lt;&gt;"&amp;$A102)&gt;0,"ERROR: APORTADO YA USADO",IF(COUNTIFS($D$4:$D$103,$E102,$G$4:$G$103,"REGISTRADO",$A$4:$A$103,"&lt;&gt;"&amp;$A102)+COUNTIFS($E$4:$E$103,$E102,$G$4:$G$103,"REGISTRADO",$A$4:$A$103,"&lt;&gt;"&amp;$A102)&gt;0,"ERROR: ENTREGADO YA USADO","VÁLIDO")))))))</f>
        <v/>
      </c>
    </row>
    <row r="103">
      <c r="A103" s="7">
        <f>"EVT-"&amp;TEXT(ROW()-3,"000")</f>
        <v/>
      </c>
      <c r="B103" s="9" t="inlineStr"/>
      <c r="C103" s="9" t="inlineStr"/>
      <c r="D103" s="9" t="inlineStr"/>
      <c r="E103" s="9" t="inlineStr"/>
      <c r="F103" s="9" t="inlineStr"/>
      <c r="G103" s="7" t="inlineStr">
        <is>
          <t>REGISTRADO</t>
        </is>
      </c>
      <c r="H103" s="7">
        <f>IF(J103="VÁLIDO",A103,"")</f>
        <v/>
      </c>
      <c r="I103" s="9" t="inlineStr"/>
      <c r="J103" s="7">
        <f>IF(COUNTA($D103,$E103)=0,"",IF($G103="ANULADO","ANULADO",IF($D103=$E103,"ERROR: MISMO EJEMPLAR",IF(IFERROR(VLOOKUP($D103,Catalogo!$A:$T,16,FALSE),"NO")&lt;&gt;"SÍ","ERROR: APORTADO NO DISPONIBLE",IF(IFERROR(VLOOKUP($E103,Catalogo!$A:$T,16,FALSE),"NO")&lt;&gt;"SÍ","ERROR: ENTREGADO NO DISPONIBLE",IF(COUNTIFS($D$4:$D$103,$D103,$G$4:$G$103,"REGISTRADO",$A$4:$A$103,"&lt;&gt;"&amp;$A103)+COUNTIFS($E$4:$E$103,$D103,$G$4:$G$103,"REGISTRADO",$A$4:$A$103,"&lt;&gt;"&amp;$A103)&gt;0,"ERROR: APORTADO YA USADO",IF(COUNTIFS($D$4:$D$103,$E103,$G$4:$G$103,"REGISTRADO",$A$4:$A$103,"&lt;&gt;"&amp;$A103)+COUNTIFS($E$4:$E$103,$E103,$G$4:$G$103,"REGISTRADO",$A$4:$A$103,"&lt;&gt;"&amp;$A103)&gt;0,"ERROR: ENTREGADO YA USADO","VÁLIDO")))))))</f>
        <v/>
      </c>
    </row>
  </sheetData>
  <autoFilter ref="A3:J103"/>
  <conditionalFormatting sqref="J4:J103">
    <cfRule type="expression" priority="1" dxfId="2">
      <formula>LEFT($J4,5)="ERROR"</formula>
    </cfRule>
    <cfRule type="expression" priority="2" dxfId="1">
      <formula>$J4="VÁLIDO"</formula>
    </cfRule>
    <cfRule type="expression" priority="3" dxfId="3">
      <formula>$J4="ANULADO"</formula>
    </cfRule>
  </conditionalFormatting>
  <dataValidations count="1">
    <dataValidation sqref="G4:G103" showDropDown="0" showInputMessage="0" showErrorMessage="1" allowBlank="0" errorTitle="Estado no válido" error="Selecciona REGISTRADO o ANULADO." type="list">
      <formula1>"REGISTRADO,ANULADO"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1" t="inlineStr">
        <is>
          <t>RESUMEN OPERATIVO</t>
        </is>
      </c>
    </row>
    <row r="3">
      <c r="A3" s="12" t="inlineStr">
        <is>
          <t>Ejemplares en catálogo</t>
        </is>
      </c>
      <c r="B3" s="13">
        <f>COUNTA(Catalogo!A2:A85)</f>
        <v/>
      </c>
    </row>
    <row r="4">
      <c r="A4" s="12" t="inlineStr">
        <is>
          <t>Registros bibliográficos</t>
        </is>
      </c>
      <c r="B4" s="13">
        <f>COUNTA(Bibliografico!A2:A75)</f>
        <v/>
      </c>
    </row>
    <row r="5">
      <c r="A5" s="12" t="inlineStr">
        <is>
          <t>Ejemplares con ISBN</t>
        </is>
      </c>
      <c r="B5" s="13">
        <f>COUNTIF(Catalogo!F2:F85,"&lt;&gt;")</f>
        <v/>
      </c>
    </row>
    <row r="6">
      <c r="A6" s="12" t="inlineStr">
        <is>
          <t>Ejemplares con posible duplicado</t>
        </is>
      </c>
      <c r="B6" s="13">
        <f>COUNTIF(Catalogo!N2:N85,"&lt;&gt;")</f>
        <v/>
      </c>
    </row>
    <row r="7">
      <c r="A7" s="12" t="inlineStr">
        <is>
          <t>Pendientes de verificación</t>
        </is>
      </c>
      <c r="B7" s="13">
        <f>COUNTIF(Catalogo!O2:O85,"PENDIENTE_VERIFICACION")</f>
        <v/>
      </c>
    </row>
    <row r="8">
      <c r="A8" s="12" t="inlineStr">
        <is>
          <t>Disponibles</t>
        </is>
      </c>
      <c r="B8" s="13">
        <f>COUNTIF(Catalogo!Q2:Q85,"DISPONIBLE")</f>
        <v/>
      </c>
    </row>
    <row r="9">
      <c r="A9" s="12" t="inlineStr">
        <is>
          <t>Intercambiados</t>
        </is>
      </c>
      <c r="B9" s="13">
        <f>COUNTIF(Catalogo!Q2:Q85,"INTERCAMBIADO")</f>
        <v/>
      </c>
    </row>
    <row r="10">
      <c r="A10" s="12" t="inlineStr">
        <is>
          <t>Operaciones válidas</t>
        </is>
      </c>
      <c r="B10" s="13">
        <f>COUNTIF(Intercambios!J4:J103,"VÁLIDO")</f>
        <v/>
      </c>
    </row>
    <row r="11">
      <c r="A11" s="12" t="inlineStr">
        <is>
          <t>Operaciones con error</t>
        </is>
      </c>
      <c r="B11" s="13">
        <f>COUNTIF(Intercambios!J4:J103,"ERROR*")</f>
        <v/>
      </c>
    </row>
    <row r="12">
      <c r="A12" s="12" t="inlineStr">
        <is>
          <t>Operaciones anuladas</t>
        </is>
      </c>
      <c r="B12" s="13">
        <f>COUNTIF(Intercambios!J4:J103,"ANULADO")</f>
        <v/>
      </c>
    </row>
    <row r="15">
      <c r="A15" s="5" t="inlineStr">
        <is>
          <t>Regla: un ejemplar solo se entrega si VALIDACION = VÁLIDO.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2026-10-29T20:46:14Z</dcterms:created>
  <dcterms:modified xmlns:dcterms="http://purl.org/dc/terms/" xmlns:xsi="http://www.w3.org/2001/XMLSchema-instance" xsi:type="dcterms:W3CDTF">2026-10-29T22:03:41Z</dcterms:modified>
</cp:coreProperties>
</file>